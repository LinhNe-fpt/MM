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2026\Thang 3\26.03\"/>
    </mc:Choice>
  </mc:AlternateContent>
  <bookViews>
    <workbookView xWindow="0" yWindow="0" windowWidth="20490" windowHeight="7650" tabRatio="857" firstSheet="43" activeTab="55"/>
  </bookViews>
  <sheets>
    <sheet name="CN 1.3" sheetId="54" r:id="rId1"/>
    <sheet name="CD 1.3" sheetId="55" r:id="rId2"/>
    <sheet name="CN 2.3" sheetId="56" r:id="rId3"/>
    <sheet name="CD 2.3" sheetId="57" r:id="rId4"/>
    <sheet name="CN 3.3" sheetId="58" r:id="rId5"/>
    <sheet name="CD 3.3" sheetId="59" r:id="rId6"/>
    <sheet name="CN 4.3" sheetId="60" r:id="rId7"/>
    <sheet name="CD 4.3" sheetId="61" r:id="rId8"/>
    <sheet name="CN 5.3" sheetId="62" r:id="rId9"/>
    <sheet name="CD 5.3" sheetId="63" r:id="rId10"/>
    <sheet name="CN 6.3" sheetId="64" r:id="rId11"/>
    <sheet name="CD 6.3 UP" sheetId="66" r:id="rId12"/>
    <sheet name="CN 7.3" sheetId="65" r:id="rId13"/>
    <sheet name="CD 7.3" sheetId="67" r:id="rId14"/>
    <sheet name="CD 7.3 UP" sheetId="68" r:id="rId15"/>
    <sheet name="CN 8.3" sheetId="70" r:id="rId16"/>
    <sheet name="CN 8.3 UP" sheetId="71" r:id="rId17"/>
    <sheet name="CD 8.3" sheetId="72" r:id="rId18"/>
    <sheet name="CD 8.3 UP" sheetId="73" r:id="rId19"/>
    <sheet name="CN 9.3" sheetId="74" r:id="rId20"/>
    <sheet name="CD 9.3" sheetId="75" r:id="rId21"/>
    <sheet name="CD 9.3 UP" sheetId="76" r:id="rId22"/>
    <sheet name="CN 10.3" sheetId="77" r:id="rId23"/>
    <sheet name="CD 10.3" sheetId="78" r:id="rId24"/>
    <sheet name="CD 10.3 UP" sheetId="79" r:id="rId25"/>
    <sheet name="CN 11.3" sheetId="80" r:id="rId26"/>
    <sheet name="CD 11.3" sheetId="81" r:id="rId27"/>
    <sheet name="CD 11.3 UP" sheetId="82" r:id="rId28"/>
    <sheet name="CN 12.3" sheetId="83" r:id="rId29"/>
    <sheet name="CD 12.3" sheetId="84" r:id="rId30"/>
    <sheet name="CD 12.3 up " sheetId="85" r:id="rId31"/>
    <sheet name="CN 13.3" sheetId="86" r:id="rId32"/>
    <sheet name="CD 13.3" sheetId="87" r:id="rId33"/>
    <sheet name="CN 14.3" sheetId="88" r:id="rId34"/>
    <sheet name="CD 14.3" sheetId="89" r:id="rId35"/>
    <sheet name="CD 14.3 UP" sheetId="90" r:id="rId36"/>
    <sheet name="CN 16.3" sheetId="91" r:id="rId37"/>
    <sheet name="CD 16.3" sheetId="92" r:id="rId38"/>
    <sheet name="CN 17.3" sheetId="93" r:id="rId39"/>
    <sheet name="CD 17.3" sheetId="94" r:id="rId40"/>
    <sheet name="CN 18.3 UP " sheetId="96" r:id="rId41"/>
    <sheet name="CD 18.3" sheetId="95" r:id="rId42"/>
    <sheet name="CN 19.3" sheetId="97" r:id="rId43"/>
    <sheet name="CD 19.3" sheetId="98" r:id="rId44"/>
    <sheet name="CN 20.3" sheetId="99" r:id="rId45"/>
    <sheet name="CD 20.3" sheetId="100" r:id="rId46"/>
    <sheet name="CN 21.3" sheetId="101" r:id="rId47"/>
    <sheet name="CD 21.3" sheetId="102" r:id="rId48"/>
    <sheet name="CN 23.3" sheetId="103" r:id="rId49"/>
    <sheet name="CD 23.3" sheetId="104" r:id="rId50"/>
    <sheet name="CN 24.3" sheetId="105" r:id="rId51"/>
    <sheet name="CD 24.3" sheetId="106" r:id="rId52"/>
    <sheet name="CN 25.3" sheetId="107" r:id="rId53"/>
    <sheet name="CD 25.3" sheetId="108" r:id="rId54"/>
    <sheet name="CN 26.3" sheetId="109" r:id="rId55"/>
    <sheet name="CN 27.3" sheetId="110" r:id="rId56"/>
  </sheets>
  <externalReferences>
    <externalReference r:id="rId57"/>
  </externalReferences>
  <definedNames>
    <definedName name="_xlnm._FilterDatabase" localSheetId="1" hidden="1">'CD 1.3'!$A$2:$L$30</definedName>
    <definedName name="_xlnm._FilterDatabase" localSheetId="23" hidden="1">'CD 10.3'!$A$2:$L$35</definedName>
    <definedName name="_xlnm._FilterDatabase" localSheetId="24" hidden="1">'CD 10.3 UP'!$A$2:$L$26</definedName>
    <definedName name="_xlnm._FilterDatabase" localSheetId="26" hidden="1">'CD 11.3'!$A$2:$L$32</definedName>
    <definedName name="_xlnm._FilterDatabase" localSheetId="27" hidden="1">'CD 11.3 UP'!$A$2:$L$24</definedName>
    <definedName name="_xlnm._FilterDatabase" localSheetId="29" hidden="1">'CD 12.3'!$A$2:$L$58</definedName>
    <definedName name="_xlnm._FilterDatabase" localSheetId="30" hidden="1">'CD 12.3 up '!$A$2:$L$23</definedName>
    <definedName name="_xlnm._FilterDatabase" localSheetId="32" hidden="1">'CD 13.3'!$A$2:$L$66</definedName>
    <definedName name="_xlnm._FilterDatabase" localSheetId="34" hidden="1">'CD 14.3'!$A$2:$L$45</definedName>
    <definedName name="_xlnm._FilterDatabase" localSheetId="35" hidden="1">'CD 14.3 UP'!$A$2:$L$25</definedName>
    <definedName name="_xlnm._FilterDatabase" localSheetId="37" hidden="1">'CD 16.3'!$A$2:$L$40</definedName>
    <definedName name="_xlnm._FilterDatabase" localSheetId="39" hidden="1">'CD 17.3'!$A$2:$L$38</definedName>
    <definedName name="_xlnm._FilterDatabase" localSheetId="41" hidden="1">'CD 18.3'!$A$2:$L$40</definedName>
    <definedName name="_xlnm._FilterDatabase" localSheetId="43" hidden="1">'CD 19.3'!$A$2:$L$36</definedName>
    <definedName name="_xlnm._FilterDatabase" localSheetId="3" hidden="1">'CD 2.3'!$A$2:$L$49</definedName>
    <definedName name="_xlnm._FilterDatabase" localSheetId="45" hidden="1">'CD 20.3'!$A$2:$L$35</definedName>
    <definedName name="_xlnm._FilterDatabase" localSheetId="47" hidden="1">'CD 21.3'!$A$2:$L$31</definedName>
    <definedName name="_xlnm._FilterDatabase" localSheetId="49" hidden="1">'CD 23.3'!$A$2:$L$31</definedName>
    <definedName name="_xlnm._FilterDatabase" localSheetId="51" hidden="1">'CD 24.3'!$A$2:$L$37</definedName>
    <definedName name="_xlnm._FilterDatabase" localSheetId="53" hidden="1">'CD 25.3'!$A$2:$L$39</definedName>
    <definedName name="_xlnm._FilterDatabase" localSheetId="5" hidden="1">'CD 3.3'!$A$2:$L$57</definedName>
    <definedName name="_xlnm._FilterDatabase" localSheetId="7" hidden="1">'CD 4.3'!$A$2:$L$45</definedName>
    <definedName name="_xlnm._FilterDatabase" localSheetId="9" hidden="1">'CD 5.3'!$A$2:$L$54</definedName>
    <definedName name="_xlnm._FilterDatabase" localSheetId="11" hidden="1">'CD 6.3 UP'!$A$2:$L$22</definedName>
    <definedName name="_xlnm._FilterDatabase" localSheetId="13" hidden="1">'CD 7.3'!$A$2:$L$45</definedName>
    <definedName name="_xlnm._FilterDatabase" localSheetId="14" hidden="1">'CD 7.3 UP'!$A$2:$L$25</definedName>
    <definedName name="_xlnm._FilterDatabase" localSheetId="17" hidden="1">'CD 8.3'!$A$2:$L$35</definedName>
    <definedName name="_xlnm._FilterDatabase" localSheetId="18" hidden="1">'CD 8.3 UP'!$A$2:$L$6</definedName>
    <definedName name="_xlnm._FilterDatabase" localSheetId="20" hidden="1">'CD 9.3'!$A$2:$L$38</definedName>
    <definedName name="_xlnm._FilterDatabase" localSheetId="21" hidden="1">'CD 9.3 UP'!$A$2:$L$16</definedName>
    <definedName name="_xlnm._FilterDatabase" localSheetId="0" hidden="1">'CN 1.3'!$A$2:$L$30</definedName>
    <definedName name="_xlnm._FilterDatabase" localSheetId="22" hidden="1">'CN 10.3'!$A$2:$L$44</definedName>
    <definedName name="_xlnm._FilterDatabase" localSheetId="25" hidden="1">'CN 11.3'!$A$2:$L$26</definedName>
    <definedName name="_xlnm._FilterDatabase" localSheetId="28" hidden="1">'CN 12.3'!$A$2:$L$40</definedName>
    <definedName name="_xlnm._FilterDatabase" localSheetId="31" hidden="1">'CN 13.3'!$A$2:$L$35</definedName>
    <definedName name="_xlnm._FilterDatabase" localSheetId="33" hidden="1">'CN 14.3'!$A$2:$L$40</definedName>
    <definedName name="_xlnm._FilterDatabase" localSheetId="36" hidden="1">'CN 16.3'!$A$2:$L$52</definedName>
    <definedName name="_xlnm._FilterDatabase" localSheetId="38" hidden="1">'CN 17.3'!$A$2:$L$43</definedName>
    <definedName name="_xlnm._FilterDatabase" localSheetId="40" hidden="1">'CN 18.3 UP '!$A$2:$L$34</definedName>
    <definedName name="_xlnm._FilterDatabase" localSheetId="42" hidden="1">'CN 19.3'!$A$2:$L$37</definedName>
    <definedName name="_xlnm._FilterDatabase" localSheetId="2" hidden="1">'CN 2.3'!$A$2:$L$21</definedName>
    <definedName name="_xlnm._FilterDatabase" localSheetId="44" hidden="1">'CN 20.3'!$A$2:$L$21</definedName>
    <definedName name="_xlnm._FilterDatabase" localSheetId="46" hidden="1">'CN 21.3'!$A$2:$L$50</definedName>
    <definedName name="_xlnm._FilterDatabase" localSheetId="48" hidden="1">'CN 23.3'!$A$2:$L$54</definedName>
    <definedName name="_xlnm._FilterDatabase" localSheetId="50" hidden="1">'CN 24.3'!$A$2:$L$29</definedName>
    <definedName name="_xlnm._FilterDatabase" localSheetId="52" hidden="1">'CN 25.3'!$A$2:$L$42</definedName>
    <definedName name="_xlnm._FilterDatabase" localSheetId="54" hidden="1">'CN 26.3'!$A$2:$L$33</definedName>
    <definedName name="_xlnm._FilterDatabase" localSheetId="55" hidden="1">'CN 27.3'!$A$2:$L$33</definedName>
    <definedName name="_xlnm._FilterDatabase" localSheetId="4" hidden="1">'CN 3.3'!$A$2:$L$47</definedName>
    <definedName name="_xlnm._FilterDatabase" localSheetId="6" hidden="1">'CN 4.3'!$A$2:$L$28</definedName>
    <definedName name="_xlnm._FilterDatabase" localSheetId="8" hidden="1">'CN 5.3'!$A$2:$L$54</definedName>
    <definedName name="_xlnm._FilterDatabase" localSheetId="10" hidden="1">'CN 6.3'!$A$2:$L$53</definedName>
    <definedName name="_xlnm._FilterDatabase" localSheetId="12" hidden="1">'CN 7.3'!$A$2:$L$38</definedName>
    <definedName name="_xlnm._FilterDatabase" localSheetId="15" hidden="1">'CN 8.3'!$A$2:$L$61</definedName>
    <definedName name="_xlnm._FilterDatabase" localSheetId="16" hidden="1">'CN 8.3 UP'!$A$2:$L$19</definedName>
    <definedName name="_xlnm._FilterDatabase" localSheetId="19" hidden="1">'CN 9.3'!$A$2:$L$33</definedName>
    <definedName name="_xlnm.Print_Area" localSheetId="1">'CD 1.3'!$A$1:$L$30</definedName>
    <definedName name="_xlnm.Print_Area" localSheetId="23">'CD 10.3'!$A$1:$L$35</definedName>
    <definedName name="_xlnm.Print_Area" localSheetId="24">'CD 10.3 UP'!$A$1:$L$26</definedName>
    <definedName name="_xlnm.Print_Area" localSheetId="26">'CD 11.3'!$A$1:$L$32</definedName>
    <definedName name="_xlnm.Print_Area" localSheetId="27">'CD 11.3 UP'!$A$1:$L$27</definedName>
    <definedName name="_xlnm.Print_Area" localSheetId="29">'CD 12.3'!$A$1:$L$58</definedName>
    <definedName name="_xlnm.Print_Area" localSheetId="30">'CD 12.3 up '!$A$1:$L$23</definedName>
    <definedName name="_xlnm.Print_Area" localSheetId="32">'CD 13.3'!$A$1:$L$66</definedName>
    <definedName name="_xlnm.Print_Area" localSheetId="34">'CD 14.3'!$A$1:$L$45</definedName>
    <definedName name="_xlnm.Print_Area" localSheetId="35">'CD 14.3 UP'!$A$1:$L$26</definedName>
    <definedName name="_xlnm.Print_Area" localSheetId="37">'CD 16.3'!$A$1:$L$63</definedName>
    <definedName name="_xlnm.Print_Area" localSheetId="39">'CD 17.3'!$A$1:$L$48</definedName>
    <definedName name="_xlnm.Print_Area" localSheetId="41">'CD 18.3'!$A$1:$L$74</definedName>
    <definedName name="_xlnm.Print_Area" localSheetId="43">'CD 19.3'!$A$1:$L$61</definedName>
    <definedName name="_xlnm.Print_Area" localSheetId="3">'CD 2.3'!$A$1:$L$48</definedName>
    <definedName name="_xlnm.Print_Area" localSheetId="45">'CD 20.3'!$A$1:$L$50</definedName>
    <definedName name="_xlnm.Print_Area" localSheetId="47">'CD 21.3'!$A$1:$L$48</definedName>
    <definedName name="_xlnm.Print_Area" localSheetId="49">'CD 23.3'!$A$1:$L$46</definedName>
    <definedName name="_xlnm.Print_Area" localSheetId="51">'CD 24.3'!$A$1:$L$37</definedName>
    <definedName name="_xlnm.Print_Area" localSheetId="53">'CD 25.3'!$A$1:$L$39</definedName>
    <definedName name="_xlnm.Print_Area" localSheetId="5">'CD 3.3'!$A$1:$L$56</definedName>
    <definedName name="_xlnm.Print_Area" localSheetId="7">'CD 4.3'!$A$1:$L$45</definedName>
    <definedName name="_xlnm.Print_Area" localSheetId="9">'CD 5.3'!$A$1:$L$54</definedName>
    <definedName name="_xlnm.Print_Area" localSheetId="11">'CD 6.3 UP'!$A$1:$L$29</definedName>
    <definedName name="_xlnm.Print_Area" localSheetId="13">'CD 7.3'!$A$1:$L$45</definedName>
    <definedName name="_xlnm.Print_Area" localSheetId="14">'CD 7.3 UP'!$A$1:$L$25</definedName>
    <definedName name="_xlnm.Print_Area" localSheetId="18">'CD 8.3 UP'!$A$1:$L$6</definedName>
    <definedName name="_xlnm.Print_Area" localSheetId="20">'CD 9.3'!$A$1:$L$38</definedName>
    <definedName name="_xlnm.Print_Area" localSheetId="21">'CD 9.3 UP'!$A$1:$L$17</definedName>
    <definedName name="_xlnm.Print_Area" localSheetId="0">'CN 1.3'!$A$1:$L$46</definedName>
    <definedName name="_xlnm.Print_Area" localSheetId="22">'CN 10.3'!$A$1:$L$44</definedName>
    <definedName name="_xlnm.Print_Area" localSheetId="25">'CN 11.3'!$A$1:$L$44</definedName>
    <definedName name="_xlnm.Print_Area" localSheetId="28">'CN 12.3'!$A$1:$L$40</definedName>
    <definedName name="_xlnm.Print_Area" localSheetId="31">'CN 13.3'!$A$1:$L$35</definedName>
    <definedName name="_xlnm.Print_Area" localSheetId="33">'CN 14.3'!$A$1:$L$40</definedName>
    <definedName name="_xlnm.Print_Area" localSheetId="36">'CN 16.3'!$A$1:$L$52</definedName>
    <definedName name="_xlnm.Print_Area" localSheetId="38">'CN 17.3'!$A$1:$L$43</definedName>
    <definedName name="_xlnm.Print_Area" localSheetId="40">'CN 18.3 UP '!$A$1:$L$35</definedName>
    <definedName name="_xlnm.Print_Area" localSheetId="42">'CN 19.3'!$A$1:$L$37</definedName>
    <definedName name="_xlnm.Print_Area" localSheetId="2">'CN 2.3'!$A$1:$L$31</definedName>
    <definedName name="_xlnm.Print_Area" localSheetId="44">'CN 20.3'!$A$1:$L$21</definedName>
    <definedName name="_xlnm.Print_Area" localSheetId="46">'CN 21.3'!$A$1:$L$50</definedName>
    <definedName name="_xlnm.Print_Area" localSheetId="48">'CN 23.3'!$A$1:$L$54</definedName>
    <definedName name="_xlnm.Print_Area" localSheetId="50">'CN 24.3'!$A$1:$L$29</definedName>
    <definedName name="_xlnm.Print_Area" localSheetId="52">'CN 25.3'!$A$1:$L$41</definedName>
    <definedName name="_xlnm.Print_Area" localSheetId="54">'CN 26.3'!$A$1:$L$33</definedName>
    <definedName name="_xlnm.Print_Area" localSheetId="55">'CN 27.3'!$A$1:$L$37</definedName>
    <definedName name="_xlnm.Print_Area" localSheetId="4">'CN 3.3'!$A$1:$L$62</definedName>
    <definedName name="_xlnm.Print_Area" localSheetId="6">'CN 4.3'!$A$1:$L$45</definedName>
    <definedName name="_xlnm.Print_Area" localSheetId="8">'CN 5.3'!$A$1:$L$54</definedName>
    <definedName name="_xlnm.Print_Area" localSheetId="10">'CN 6.3'!$A$1:$L$53</definedName>
    <definedName name="_xlnm.Print_Area" localSheetId="12">'CN 7.3'!$A$1:$L$48</definedName>
    <definedName name="_xlnm.Print_Area" localSheetId="15">'CN 8.3'!$A$1:$L$61</definedName>
    <definedName name="_xlnm.Print_Area" localSheetId="16">'CN 8.3 UP'!$A$1:$L$19</definedName>
    <definedName name="_xlnm.Print_Area" localSheetId="19">'CN 9.3'!$A$1:$L$33</definedName>
    <definedName name="RangeData46">'[1]Dữ liệu nhập liệu'!$AU$3:$AU$24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110" l="1"/>
  <c r="L35" i="110"/>
  <c r="L36" i="110"/>
  <c r="L37" i="110"/>
  <c r="L33" i="110" l="1"/>
  <c r="L32" i="110"/>
  <c r="L31" i="110"/>
  <c r="L30" i="110"/>
  <c r="L29" i="110"/>
  <c r="L28" i="110"/>
  <c r="L27" i="110"/>
  <c r="L26" i="110"/>
  <c r="L25" i="110"/>
  <c r="L24" i="110"/>
  <c r="L23" i="110"/>
  <c r="L22" i="110"/>
  <c r="L21" i="110"/>
  <c r="L20" i="110"/>
  <c r="L19" i="110"/>
  <c r="L18" i="110"/>
  <c r="L17" i="110"/>
  <c r="L16" i="110"/>
  <c r="L15" i="110"/>
  <c r="L14" i="110"/>
  <c r="L13" i="110"/>
  <c r="L12" i="110"/>
  <c r="L11" i="110"/>
  <c r="L10" i="110"/>
  <c r="L9" i="110"/>
  <c r="L8" i="110"/>
  <c r="L7" i="110"/>
  <c r="L6" i="110"/>
  <c r="L5" i="110"/>
  <c r="L4" i="110"/>
  <c r="L3" i="110"/>
  <c r="L33" i="109" l="1"/>
  <c r="L32" i="109"/>
  <c r="L31" i="109"/>
  <c r="L30" i="109"/>
  <c r="L29" i="109"/>
  <c r="L28" i="109"/>
  <c r="L27" i="109"/>
  <c r="L26" i="109"/>
  <c r="L25" i="109"/>
  <c r="L24" i="109"/>
  <c r="L23" i="109"/>
  <c r="L22" i="109"/>
  <c r="L21" i="109"/>
  <c r="L20" i="109"/>
  <c r="L19" i="109"/>
  <c r="L18" i="109"/>
  <c r="L17" i="109"/>
  <c r="L16" i="109"/>
  <c r="L15" i="109"/>
  <c r="L14" i="109"/>
  <c r="L13" i="109"/>
  <c r="L12" i="109"/>
  <c r="L11" i="109"/>
  <c r="L10" i="109"/>
  <c r="L9" i="109"/>
  <c r="L8" i="109"/>
  <c r="L7" i="109"/>
  <c r="L6" i="109"/>
  <c r="L5" i="109"/>
  <c r="L4" i="109"/>
  <c r="L3" i="109"/>
  <c r="K13" i="107" l="1"/>
  <c r="K10" i="107"/>
  <c r="L38" i="107"/>
  <c r="L39" i="107"/>
  <c r="L40" i="107"/>
  <c r="L41" i="107"/>
  <c r="L38" i="108" l="1"/>
  <c r="L39" i="108"/>
  <c r="L37" i="108" l="1"/>
  <c r="L36" i="108"/>
  <c r="L35" i="108"/>
  <c r="L34" i="108"/>
  <c r="L33" i="108"/>
  <c r="L32" i="108"/>
  <c r="L31" i="108"/>
  <c r="L30" i="108"/>
  <c r="L29" i="108"/>
  <c r="L28" i="108"/>
  <c r="L27" i="108"/>
  <c r="L26" i="108"/>
  <c r="L25" i="108"/>
  <c r="L24" i="108"/>
  <c r="L23" i="108"/>
  <c r="L22" i="108"/>
  <c r="L21" i="108"/>
  <c r="L20" i="108"/>
  <c r="L19" i="108"/>
  <c r="L18" i="108"/>
  <c r="L17" i="108"/>
  <c r="L16" i="108"/>
  <c r="L15" i="108"/>
  <c r="L14" i="108"/>
  <c r="L13" i="108"/>
  <c r="L12" i="108"/>
  <c r="L11" i="108"/>
  <c r="L10" i="108"/>
  <c r="L9" i="108"/>
  <c r="L8" i="108"/>
  <c r="L7" i="108"/>
  <c r="L6" i="108"/>
  <c r="L5" i="108"/>
  <c r="L4" i="108"/>
  <c r="L3" i="108"/>
  <c r="L37" i="107"/>
  <c r="L36" i="107"/>
  <c r="L35" i="107"/>
  <c r="L34" i="107"/>
  <c r="L33" i="107"/>
  <c r="L32" i="107"/>
  <c r="L31" i="107"/>
  <c r="L30" i="107"/>
  <c r="L29" i="107"/>
  <c r="L28" i="107"/>
  <c r="L27" i="107"/>
  <c r="L26" i="107"/>
  <c r="L25" i="107"/>
  <c r="L24" i="107"/>
  <c r="L23" i="107"/>
  <c r="L22" i="107"/>
  <c r="L21" i="107"/>
  <c r="L20" i="107"/>
  <c r="L19" i="107"/>
  <c r="L18" i="107"/>
  <c r="L17" i="107"/>
  <c r="L16" i="107"/>
  <c r="L15" i="107"/>
  <c r="L14" i="107"/>
  <c r="L13" i="107"/>
  <c r="L12" i="107"/>
  <c r="L11" i="107"/>
  <c r="L10" i="107"/>
  <c r="L9" i="107"/>
  <c r="L8" i="107"/>
  <c r="L7" i="107"/>
  <c r="L6" i="107"/>
  <c r="L5" i="107"/>
  <c r="L4" i="107"/>
  <c r="L3" i="107"/>
  <c r="J7" i="106" l="1"/>
  <c r="L29" i="106"/>
  <c r="L30" i="106"/>
  <c r="L31" i="106"/>
  <c r="L32" i="106"/>
  <c r="L33" i="106"/>
  <c r="L34" i="106"/>
  <c r="L35" i="106"/>
  <c r="L36" i="106"/>
  <c r="L37" i="106"/>
  <c r="L28" i="106" l="1"/>
  <c r="L27" i="106"/>
  <c r="L26" i="106"/>
  <c r="L25" i="106"/>
  <c r="L24" i="106"/>
  <c r="L23" i="106"/>
  <c r="L22" i="106"/>
  <c r="L21" i="106"/>
  <c r="L20" i="106"/>
  <c r="L19" i="106"/>
  <c r="L18" i="106"/>
  <c r="L17" i="106"/>
  <c r="L16" i="106"/>
  <c r="L15" i="106"/>
  <c r="L14" i="106"/>
  <c r="L13" i="106"/>
  <c r="L12" i="106"/>
  <c r="L11" i="106"/>
  <c r="L10" i="106"/>
  <c r="L9" i="106"/>
  <c r="L8" i="106"/>
  <c r="L7" i="106"/>
  <c r="L6" i="106"/>
  <c r="L5" i="106"/>
  <c r="L4" i="106"/>
  <c r="L3" i="106"/>
  <c r="L12" i="105" l="1"/>
  <c r="L8" i="105"/>
  <c r="K15" i="105" l="1"/>
  <c r="K4" i="105"/>
  <c r="K3" i="105"/>
  <c r="L32" i="104" l="1"/>
  <c r="L33" i="104"/>
  <c r="L34" i="104"/>
  <c r="L35" i="104"/>
  <c r="L36" i="104"/>
  <c r="L37" i="104"/>
  <c r="L38" i="104"/>
  <c r="L39" i="104"/>
  <c r="L40" i="104"/>
  <c r="L41" i="104"/>
  <c r="L42" i="104"/>
  <c r="L43" i="104"/>
  <c r="L44" i="104"/>
  <c r="L45" i="104"/>
  <c r="L46" i="104"/>
  <c r="L5" i="105" l="1"/>
  <c r="L6" i="105"/>
  <c r="L29" i="105" l="1"/>
  <c r="L28" i="105"/>
  <c r="L27" i="105"/>
  <c r="L26" i="105"/>
  <c r="L25" i="105"/>
  <c r="L24" i="105"/>
  <c r="L23" i="105"/>
  <c r="L22" i="105"/>
  <c r="L21" i="105"/>
  <c r="L20" i="105"/>
  <c r="L19" i="105"/>
  <c r="L18" i="105"/>
  <c r="L17" i="105"/>
  <c r="L16" i="105"/>
  <c r="L15" i="105"/>
  <c r="L14" i="105"/>
  <c r="L13" i="105"/>
  <c r="L11" i="105"/>
  <c r="L10" i="105"/>
  <c r="L9" i="105"/>
  <c r="L7" i="105"/>
  <c r="L4" i="105"/>
  <c r="L3" i="105"/>
  <c r="L31" i="104" l="1"/>
  <c r="L30" i="104"/>
  <c r="L29" i="104"/>
  <c r="L28" i="104"/>
  <c r="L27" i="104"/>
  <c r="L26" i="104"/>
  <c r="L25" i="104"/>
  <c r="L24" i="104"/>
  <c r="L23" i="104"/>
  <c r="L22" i="104"/>
  <c r="L21" i="104"/>
  <c r="L20" i="104"/>
  <c r="L19" i="104"/>
  <c r="L18" i="104"/>
  <c r="L17" i="104"/>
  <c r="L16" i="104"/>
  <c r="L15" i="104"/>
  <c r="L14" i="104"/>
  <c r="L13" i="104"/>
  <c r="L12" i="104"/>
  <c r="L11" i="104"/>
  <c r="L10" i="104"/>
  <c r="L9" i="104"/>
  <c r="L8" i="104"/>
  <c r="L7" i="104"/>
  <c r="L6" i="104"/>
  <c r="L5" i="104"/>
  <c r="L4" i="104"/>
  <c r="L3" i="104"/>
  <c r="L28" i="103" l="1"/>
  <c r="L20" i="103" l="1"/>
  <c r="L21" i="103"/>
  <c r="L25" i="103"/>
  <c r="L43" i="103"/>
  <c r="L44" i="103"/>
  <c r="L45" i="103"/>
  <c r="L46" i="103"/>
  <c r="L47" i="103"/>
  <c r="L48" i="103"/>
  <c r="L49" i="103"/>
  <c r="L50" i="103"/>
  <c r="K3" i="103"/>
  <c r="L32" i="102" l="1"/>
  <c r="L33" i="102"/>
  <c r="L34" i="102"/>
  <c r="L35" i="102"/>
  <c r="L36" i="102"/>
  <c r="L37" i="102"/>
  <c r="L38" i="102"/>
  <c r="L39" i="102"/>
  <c r="L40" i="102"/>
  <c r="L41" i="102"/>
  <c r="L42" i="102"/>
  <c r="L43" i="102"/>
  <c r="L44" i="102"/>
  <c r="L45" i="102"/>
  <c r="L46" i="102"/>
  <c r="L47" i="102"/>
  <c r="L48" i="102"/>
  <c r="L32" i="103" l="1"/>
  <c r="L33" i="103"/>
  <c r="L34" i="103"/>
  <c r="L35" i="103"/>
  <c r="L36" i="103"/>
  <c r="L37" i="103"/>
  <c r="L38" i="103"/>
  <c r="L39" i="103"/>
  <c r="L40" i="103"/>
  <c r="L41" i="103"/>
  <c r="L42" i="103"/>
  <c r="L51" i="103"/>
  <c r="L52" i="103"/>
  <c r="L53" i="103"/>
  <c r="L54" i="103"/>
  <c r="L31" i="103" l="1"/>
  <c r="L30" i="103"/>
  <c r="L29" i="103"/>
  <c r="L27" i="103"/>
  <c r="L26" i="103"/>
  <c r="L24" i="103"/>
  <c r="L23" i="103"/>
  <c r="L22" i="103"/>
  <c r="L19" i="103"/>
  <c r="L18" i="103"/>
  <c r="L17" i="103"/>
  <c r="L16" i="103"/>
  <c r="L15" i="103"/>
  <c r="L14" i="103"/>
  <c r="L13" i="103"/>
  <c r="L12" i="103"/>
  <c r="L11" i="103"/>
  <c r="L10" i="103"/>
  <c r="L9" i="103"/>
  <c r="L8" i="103"/>
  <c r="L7" i="103"/>
  <c r="L6" i="103"/>
  <c r="L5" i="103"/>
  <c r="L4" i="103"/>
  <c r="L3" i="103"/>
  <c r="L18" i="102" l="1"/>
  <c r="L31" i="102" l="1"/>
  <c r="L30" i="102"/>
  <c r="L29" i="102"/>
  <c r="L28" i="102"/>
  <c r="L27" i="102"/>
  <c r="L26" i="102"/>
  <c r="L25" i="102"/>
  <c r="L24" i="102"/>
  <c r="L23" i="102"/>
  <c r="L22" i="102"/>
  <c r="L21" i="102"/>
  <c r="L20" i="102"/>
  <c r="L19" i="102"/>
  <c r="L17" i="102"/>
  <c r="L16" i="102"/>
  <c r="L15" i="102"/>
  <c r="L14" i="102"/>
  <c r="L13" i="102"/>
  <c r="L12" i="102"/>
  <c r="L11" i="102"/>
  <c r="L10" i="102"/>
  <c r="L9" i="102"/>
  <c r="L8" i="102"/>
  <c r="L7" i="102"/>
  <c r="L6" i="102"/>
  <c r="L5" i="102"/>
  <c r="L4" i="102"/>
  <c r="L3" i="102"/>
  <c r="L29" i="101" l="1"/>
  <c r="L30" i="101"/>
  <c r="L31" i="101"/>
  <c r="L32" i="101"/>
  <c r="L33" i="101"/>
  <c r="L34" i="101"/>
  <c r="L35" i="101"/>
  <c r="L36" i="101"/>
  <c r="L47" i="101"/>
  <c r="L46" i="101" l="1"/>
  <c r="L48" i="101"/>
  <c r="L49" i="101"/>
  <c r="L28" i="101"/>
  <c r="L17" i="101" l="1"/>
  <c r="L18" i="101"/>
  <c r="L4" i="101"/>
  <c r="L5" i="101"/>
  <c r="K7" i="101"/>
  <c r="K6" i="101"/>
  <c r="L35" i="100" l="1"/>
  <c r="L36" i="100"/>
  <c r="L37" i="100"/>
  <c r="L38" i="100"/>
  <c r="L39" i="100"/>
  <c r="L40" i="100"/>
  <c r="L41" i="100"/>
  <c r="L42" i="100"/>
  <c r="L43" i="100"/>
  <c r="L44" i="100"/>
  <c r="L45" i="100"/>
  <c r="L46" i="100"/>
  <c r="L47" i="100"/>
  <c r="L48" i="100"/>
  <c r="L49" i="100"/>
  <c r="L50" i="100"/>
  <c r="L50" i="101" l="1"/>
  <c r="L45" i="101"/>
  <c r="L44" i="101"/>
  <c r="L43" i="101"/>
  <c r="L42" i="101"/>
  <c r="L41" i="101"/>
  <c r="L40" i="101"/>
  <c r="L39" i="101"/>
  <c r="L38" i="101"/>
  <c r="L37" i="101"/>
  <c r="L27" i="101"/>
  <c r="L26" i="101"/>
  <c r="L25" i="101"/>
  <c r="L24" i="101"/>
  <c r="L23" i="101"/>
  <c r="L22" i="101"/>
  <c r="L21" i="101"/>
  <c r="L20" i="101"/>
  <c r="L19" i="101"/>
  <c r="L16" i="101"/>
  <c r="L15" i="101"/>
  <c r="L14" i="101"/>
  <c r="L13" i="101"/>
  <c r="L12" i="101"/>
  <c r="L11" i="101"/>
  <c r="L10" i="101"/>
  <c r="L9" i="101"/>
  <c r="L8" i="101"/>
  <c r="L7" i="101"/>
  <c r="L6" i="101"/>
  <c r="L3" i="101"/>
  <c r="L30" i="100" l="1"/>
  <c r="L31" i="100"/>
  <c r="L32" i="100"/>
  <c r="L33" i="100"/>
  <c r="L34" i="100"/>
  <c r="L22" i="100" l="1"/>
  <c r="L23" i="100"/>
  <c r="L24" i="100"/>
  <c r="L25" i="100"/>
  <c r="L26" i="100"/>
  <c r="L27" i="100"/>
  <c r="L28" i="100"/>
  <c r="L29" i="100"/>
  <c r="L21" i="100" l="1"/>
  <c r="L20" i="100"/>
  <c r="L19" i="100"/>
  <c r="L18" i="100"/>
  <c r="L17" i="100"/>
  <c r="L16" i="100"/>
  <c r="L15" i="100"/>
  <c r="L14" i="100"/>
  <c r="L13" i="100"/>
  <c r="L12" i="100"/>
  <c r="L11" i="100"/>
  <c r="L10" i="100"/>
  <c r="L9" i="100"/>
  <c r="L8" i="100"/>
  <c r="L7" i="100"/>
  <c r="L6" i="100"/>
  <c r="L5" i="100"/>
  <c r="L4" i="100"/>
  <c r="L3" i="100"/>
  <c r="K14" i="99" l="1"/>
  <c r="L45" i="98" l="1"/>
  <c r="L46" i="98"/>
  <c r="L47" i="98"/>
  <c r="L48" i="98"/>
  <c r="L49" i="98"/>
  <c r="L50" i="98"/>
  <c r="L51" i="98"/>
  <c r="L52" i="98"/>
  <c r="L53" i="98"/>
  <c r="L54" i="98"/>
  <c r="L55" i="98"/>
  <c r="L56" i="98"/>
  <c r="L57" i="98"/>
  <c r="L58" i="98"/>
  <c r="L59" i="98"/>
  <c r="L60" i="98"/>
  <c r="L61" i="98"/>
  <c r="L37" i="98"/>
  <c r="L38" i="98"/>
  <c r="L39" i="98"/>
  <c r="L40" i="98"/>
  <c r="L41" i="98"/>
  <c r="L42" i="98"/>
  <c r="L43" i="98"/>
  <c r="L44" i="98"/>
  <c r="L21" i="99" l="1"/>
  <c r="L20" i="99"/>
  <c r="L19" i="99"/>
  <c r="L18" i="99"/>
  <c r="L17" i="99"/>
  <c r="L16" i="99"/>
  <c r="L15" i="99"/>
  <c r="L14" i="99"/>
  <c r="L13" i="99"/>
  <c r="L12" i="99"/>
  <c r="L11" i="99"/>
  <c r="L10" i="99"/>
  <c r="L9" i="99"/>
  <c r="L8" i="99"/>
  <c r="L7" i="99"/>
  <c r="L6" i="99"/>
  <c r="L5" i="99"/>
  <c r="L4" i="99"/>
  <c r="L3" i="99"/>
  <c r="L36" i="98" l="1"/>
  <c r="L35" i="98"/>
  <c r="L34" i="98"/>
  <c r="L33" i="98"/>
  <c r="L32" i="98"/>
  <c r="L31" i="98"/>
  <c r="L30" i="98"/>
  <c r="L29" i="98"/>
  <c r="L28" i="98"/>
  <c r="L27" i="98"/>
  <c r="L26" i="98"/>
  <c r="L25" i="98"/>
  <c r="L24" i="98"/>
  <c r="L23" i="98"/>
  <c r="L22" i="98"/>
  <c r="L21" i="98"/>
  <c r="L20" i="98"/>
  <c r="L19" i="98"/>
  <c r="L18" i="98"/>
  <c r="L17" i="98"/>
  <c r="L16" i="98"/>
  <c r="L15" i="98"/>
  <c r="L14" i="98"/>
  <c r="L13" i="98"/>
  <c r="L12" i="98"/>
  <c r="L11" i="98"/>
  <c r="L10" i="98"/>
  <c r="L9" i="98"/>
  <c r="L8" i="98"/>
  <c r="L7" i="98"/>
  <c r="L6" i="98"/>
  <c r="L5" i="98"/>
  <c r="L4" i="98"/>
  <c r="L3" i="98"/>
  <c r="L26" i="97" l="1"/>
  <c r="L17" i="97"/>
  <c r="L18" i="97"/>
  <c r="K25" i="97" l="1"/>
  <c r="L71" i="95" l="1"/>
  <c r="L72" i="95"/>
  <c r="L73" i="95"/>
  <c r="L74" i="95"/>
  <c r="L38" i="95" l="1"/>
  <c r="L39" i="95"/>
  <c r="L40" i="95"/>
  <c r="L41" i="95"/>
  <c r="L42" i="95"/>
  <c r="L43" i="95"/>
  <c r="L44" i="95"/>
  <c r="L45" i="95"/>
  <c r="L46" i="95"/>
  <c r="L47" i="95"/>
  <c r="L48" i="95"/>
  <c r="L49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L63" i="95"/>
  <c r="L64" i="95"/>
  <c r="L65" i="95"/>
  <c r="L66" i="95"/>
  <c r="L67" i="95"/>
  <c r="L68" i="95"/>
  <c r="L69" i="95"/>
  <c r="L70" i="95"/>
  <c r="L37" i="97" l="1"/>
  <c r="L36" i="97"/>
  <c r="L35" i="97"/>
  <c r="L34" i="97"/>
  <c r="L33" i="97"/>
  <c r="L32" i="97"/>
  <c r="L31" i="97"/>
  <c r="L30" i="97"/>
  <c r="L29" i="97"/>
  <c r="L28" i="97"/>
  <c r="L27" i="97"/>
  <c r="L25" i="97"/>
  <c r="L24" i="97"/>
  <c r="L23" i="97"/>
  <c r="L22" i="97"/>
  <c r="L21" i="97"/>
  <c r="L20" i="97"/>
  <c r="L19" i="97"/>
  <c r="L16" i="97"/>
  <c r="L15" i="97"/>
  <c r="L14" i="97"/>
  <c r="L13" i="97"/>
  <c r="L12" i="97"/>
  <c r="L11" i="97"/>
  <c r="L10" i="97"/>
  <c r="L9" i="97"/>
  <c r="L8" i="97"/>
  <c r="L7" i="97"/>
  <c r="L6" i="97"/>
  <c r="L5" i="97"/>
  <c r="L4" i="97"/>
  <c r="L3" i="97"/>
  <c r="L32" i="95" l="1"/>
  <c r="L33" i="95"/>
  <c r="L34" i="95"/>
  <c r="L35" i="95"/>
  <c r="L36" i="95"/>
  <c r="L37" i="95"/>
  <c r="L35" i="96" l="1"/>
  <c r="L34" i="96"/>
  <c r="L33" i="96"/>
  <c r="L32" i="96"/>
  <c r="L31" i="96"/>
  <c r="L30" i="96"/>
  <c r="L29" i="96"/>
  <c r="L28" i="96"/>
  <c r="L27" i="96"/>
  <c r="L26" i="96"/>
  <c r="L25" i="96"/>
  <c r="L24" i="96"/>
  <c r="L23" i="96"/>
  <c r="L22" i="96"/>
  <c r="L21" i="96"/>
  <c r="L20" i="96"/>
  <c r="L19" i="96"/>
  <c r="L18" i="96"/>
  <c r="L17" i="96"/>
  <c r="L16" i="96"/>
  <c r="L15" i="96"/>
  <c r="L14" i="96"/>
  <c r="L13" i="96"/>
  <c r="L12" i="96"/>
  <c r="L11" i="96"/>
  <c r="L10" i="96"/>
  <c r="L9" i="96"/>
  <c r="L8" i="96"/>
  <c r="L7" i="96"/>
  <c r="L6" i="96"/>
  <c r="L5" i="96"/>
  <c r="L4" i="96"/>
  <c r="L3" i="96"/>
  <c r="L37" i="94" l="1"/>
  <c r="L38" i="94"/>
  <c r="L39" i="94"/>
  <c r="L40" i="94"/>
  <c r="L41" i="94"/>
  <c r="L42" i="94"/>
  <c r="L43" i="94"/>
  <c r="L44" i="94"/>
  <c r="L45" i="94"/>
  <c r="L46" i="94"/>
  <c r="L47" i="94"/>
  <c r="L48" i="94"/>
  <c r="L31" i="95" l="1"/>
  <c r="L30" i="95"/>
  <c r="L29" i="95"/>
  <c r="L28" i="95"/>
  <c r="L27" i="95"/>
  <c r="L26" i="95"/>
  <c r="L25" i="95"/>
  <c r="L24" i="95"/>
  <c r="L23" i="95"/>
  <c r="L22" i="95"/>
  <c r="L21" i="95"/>
  <c r="L20" i="95"/>
  <c r="L19" i="95"/>
  <c r="L18" i="95"/>
  <c r="L17" i="95"/>
  <c r="L16" i="95"/>
  <c r="L15" i="95"/>
  <c r="L14" i="95"/>
  <c r="L13" i="95"/>
  <c r="L12" i="95"/>
  <c r="L11" i="95"/>
  <c r="L10" i="95"/>
  <c r="L9" i="95"/>
  <c r="L8" i="95"/>
  <c r="L7" i="95"/>
  <c r="L6" i="95"/>
  <c r="L5" i="95"/>
  <c r="L4" i="95"/>
  <c r="L3" i="95"/>
  <c r="L36" i="94" l="1"/>
  <c r="L35" i="94"/>
  <c r="L34" i="94"/>
  <c r="L33" i="94"/>
  <c r="L32" i="94"/>
  <c r="L31" i="94"/>
  <c r="L30" i="94"/>
  <c r="L29" i="94"/>
  <c r="L28" i="94"/>
  <c r="L27" i="94"/>
  <c r="L26" i="94"/>
  <c r="L25" i="94"/>
  <c r="L24" i="94"/>
  <c r="L23" i="94"/>
  <c r="L22" i="94"/>
  <c r="L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L7" i="94"/>
  <c r="L6" i="94"/>
  <c r="L5" i="94"/>
  <c r="L4" i="94"/>
  <c r="L3" i="94"/>
  <c r="L40" i="93" l="1"/>
  <c r="L27" i="93"/>
  <c r="L15" i="93" l="1"/>
  <c r="L16" i="93"/>
  <c r="L17" i="93"/>
  <c r="L8" i="93"/>
  <c r="L9" i="93"/>
  <c r="L41" i="92" l="1"/>
  <c r="L42" i="92"/>
  <c r="L43" i="92"/>
  <c r="L44" i="92"/>
  <c r="L45" i="92"/>
  <c r="L46" i="92"/>
  <c r="L47" i="92"/>
  <c r="L48" i="92"/>
  <c r="L49" i="92"/>
  <c r="L50" i="92"/>
  <c r="L51" i="92"/>
  <c r="L52" i="92"/>
  <c r="L53" i="92"/>
  <c r="L54" i="92"/>
  <c r="L55" i="92"/>
  <c r="L56" i="92"/>
  <c r="L57" i="92"/>
  <c r="L58" i="92"/>
  <c r="L59" i="92"/>
  <c r="L60" i="92"/>
  <c r="L43" i="93" l="1"/>
  <c r="L42" i="93"/>
  <c r="L41" i="93"/>
  <c r="L39" i="93"/>
  <c r="L38" i="93"/>
  <c r="L37" i="93"/>
  <c r="L36" i="93"/>
  <c r="L35" i="93"/>
  <c r="L34" i="93"/>
  <c r="L33" i="93"/>
  <c r="L32" i="93"/>
  <c r="L31" i="93"/>
  <c r="L30" i="93"/>
  <c r="L29" i="93"/>
  <c r="L28" i="93"/>
  <c r="L26" i="93"/>
  <c r="L25" i="93"/>
  <c r="L24" i="93"/>
  <c r="L23" i="93"/>
  <c r="L22" i="93"/>
  <c r="L21" i="93"/>
  <c r="L20" i="93"/>
  <c r="L19" i="93"/>
  <c r="L18" i="93"/>
  <c r="L14" i="93"/>
  <c r="L13" i="93"/>
  <c r="L12" i="93"/>
  <c r="L11" i="93"/>
  <c r="L10" i="93"/>
  <c r="L7" i="93"/>
  <c r="L6" i="93"/>
  <c r="L5" i="93"/>
  <c r="L4" i="93"/>
  <c r="L3" i="93"/>
  <c r="L40" i="92" l="1"/>
  <c r="L39" i="92"/>
  <c r="L38" i="92"/>
  <c r="L37" i="92"/>
  <c r="L36" i="92"/>
  <c r="L35" i="92"/>
  <c r="L34" i="92"/>
  <c r="L33" i="92"/>
  <c r="L32" i="92"/>
  <c r="L31" i="92"/>
  <c r="L30" i="92"/>
  <c r="L29" i="92"/>
  <c r="L28" i="92"/>
  <c r="L27" i="92"/>
  <c r="L26" i="92"/>
  <c r="L25" i="92"/>
  <c r="L24" i="92"/>
  <c r="L23" i="92"/>
  <c r="L22" i="92"/>
  <c r="L21" i="92"/>
  <c r="L20" i="92"/>
  <c r="L19" i="92"/>
  <c r="L18" i="92"/>
  <c r="L17" i="92"/>
  <c r="L16" i="92"/>
  <c r="L15" i="92"/>
  <c r="L14" i="92"/>
  <c r="L13" i="92"/>
  <c r="L12" i="92"/>
  <c r="L11" i="92"/>
  <c r="L10" i="92"/>
  <c r="L9" i="92"/>
  <c r="L8" i="92"/>
  <c r="L7" i="92"/>
  <c r="L6" i="92"/>
  <c r="L5" i="92"/>
  <c r="L4" i="92"/>
  <c r="L3" i="92"/>
  <c r="L45" i="91"/>
  <c r="L46" i="91"/>
  <c r="L47" i="91"/>
  <c r="L48" i="91"/>
  <c r="K31" i="91"/>
  <c r="L29" i="91"/>
  <c r="L30" i="91"/>
  <c r="L31" i="91"/>
  <c r="L18" i="91"/>
  <c r="L19" i="91"/>
  <c r="L20" i="91"/>
  <c r="L21" i="91"/>
  <c r="L7" i="91"/>
  <c r="L8" i="91"/>
  <c r="K50" i="91" l="1"/>
  <c r="L52" i="91" l="1"/>
  <c r="L51" i="91"/>
  <c r="L50" i="91"/>
  <c r="L49" i="91"/>
  <c r="L44" i="91"/>
  <c r="L43" i="91"/>
  <c r="L42" i="91"/>
  <c r="L41" i="91"/>
  <c r="L40" i="91"/>
  <c r="L39" i="91"/>
  <c r="L38" i="91"/>
  <c r="L37" i="91"/>
  <c r="L36" i="91"/>
  <c r="L35" i="91"/>
  <c r="L34" i="91"/>
  <c r="L33" i="91"/>
  <c r="L32" i="91"/>
  <c r="L28" i="91"/>
  <c r="L27" i="91"/>
  <c r="L26" i="91"/>
  <c r="L25" i="91"/>
  <c r="L24" i="91"/>
  <c r="L23" i="91"/>
  <c r="L22" i="91"/>
  <c r="L17" i="91"/>
  <c r="L16" i="91"/>
  <c r="L15" i="91"/>
  <c r="L14" i="91"/>
  <c r="L13" i="91"/>
  <c r="L12" i="91"/>
  <c r="L11" i="91"/>
  <c r="L10" i="91"/>
  <c r="L9" i="91"/>
  <c r="L6" i="91"/>
  <c r="L5" i="91"/>
  <c r="L4" i="91"/>
  <c r="L3" i="91"/>
  <c r="K23" i="90" l="1"/>
  <c r="L26" i="90"/>
  <c r="L25" i="90"/>
  <c r="L24" i="90"/>
  <c r="L23" i="90"/>
  <c r="L22" i="90"/>
  <c r="L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8" i="90"/>
  <c r="L7" i="90"/>
  <c r="L6" i="90"/>
  <c r="L5" i="90"/>
  <c r="L4" i="90"/>
  <c r="L3" i="90"/>
  <c r="L41" i="89" l="1"/>
  <c r="L42" i="89"/>
  <c r="L43" i="89"/>
  <c r="L44" i="89"/>
  <c r="L45" i="89"/>
  <c r="L40" i="89" l="1"/>
  <c r="L39" i="89"/>
  <c r="L38" i="89"/>
  <c r="L37" i="89"/>
  <c r="L36" i="89"/>
  <c r="L35" i="89"/>
  <c r="L34" i="89"/>
  <c r="L33" i="89"/>
  <c r="L32" i="89"/>
  <c r="L31" i="89"/>
  <c r="L30" i="89"/>
  <c r="L29" i="89"/>
  <c r="L28" i="89"/>
  <c r="L27" i="89"/>
  <c r="L26" i="89"/>
  <c r="L25" i="89"/>
  <c r="L24" i="89"/>
  <c r="L23" i="89"/>
  <c r="L22" i="89"/>
  <c r="L21" i="89"/>
  <c r="L20" i="89"/>
  <c r="L19" i="89"/>
  <c r="L18" i="89"/>
  <c r="L17" i="89"/>
  <c r="L16" i="89"/>
  <c r="L15" i="89"/>
  <c r="L14" i="89"/>
  <c r="L13" i="89"/>
  <c r="L12" i="89"/>
  <c r="L11" i="89"/>
  <c r="L10" i="89"/>
  <c r="L9" i="89"/>
  <c r="L8" i="89"/>
  <c r="L7" i="89"/>
  <c r="L6" i="89"/>
  <c r="L5" i="89"/>
  <c r="L4" i="89"/>
  <c r="L3" i="89"/>
  <c r="L40" i="88" l="1"/>
  <c r="L39" i="88"/>
  <c r="L38" i="88"/>
  <c r="L37" i="88"/>
  <c r="L36" i="88"/>
  <c r="L35" i="88"/>
  <c r="L34" i="88"/>
  <c r="L33" i="88"/>
  <c r="L32" i="88"/>
  <c r="L31" i="88"/>
  <c r="L30" i="88"/>
  <c r="L29" i="88"/>
  <c r="L28" i="88"/>
  <c r="L27" i="88"/>
  <c r="L26" i="88"/>
  <c r="L25" i="88"/>
  <c r="L24" i="88"/>
  <c r="L23" i="88"/>
  <c r="L22" i="88"/>
  <c r="L21" i="88"/>
  <c r="L20" i="88"/>
  <c r="L19" i="88"/>
  <c r="L18" i="88"/>
  <c r="L17" i="88"/>
  <c r="L16" i="88"/>
  <c r="L15" i="88"/>
  <c r="L14" i="88"/>
  <c r="L13" i="88"/>
  <c r="L12" i="88"/>
  <c r="L11" i="88"/>
  <c r="L10" i="88"/>
  <c r="L9" i="88"/>
  <c r="L8" i="88"/>
  <c r="L7" i="88"/>
  <c r="L6" i="88"/>
  <c r="L5" i="88"/>
  <c r="L4" i="88"/>
  <c r="L3" i="88"/>
  <c r="L58" i="87" l="1"/>
  <c r="L59" i="87"/>
  <c r="L60" i="87"/>
  <c r="L61" i="87"/>
  <c r="L48" i="87"/>
  <c r="L33" i="87"/>
  <c r="L34" i="87"/>
  <c r="L35" i="87"/>
  <c r="L36" i="87"/>
  <c r="L37" i="87"/>
  <c r="L38" i="87"/>
  <c r="L39" i="87"/>
  <c r="L40" i="87"/>
  <c r="L8" i="87"/>
  <c r="L9" i="87"/>
  <c r="L10" i="87"/>
  <c r="L47" i="87" l="1"/>
  <c r="L49" i="87"/>
  <c r="L50" i="87"/>
  <c r="L51" i="87"/>
  <c r="L52" i="87"/>
  <c r="L53" i="87"/>
  <c r="L54" i="87"/>
  <c r="L55" i="87"/>
  <c r="L56" i="87"/>
  <c r="L57" i="87"/>
  <c r="L62" i="87"/>
  <c r="L63" i="87"/>
  <c r="L64" i="87"/>
  <c r="L65" i="87"/>
  <c r="L66" i="87"/>
  <c r="L46" i="87" l="1"/>
  <c r="L45" i="87"/>
  <c r="L44" i="87"/>
  <c r="L43" i="87"/>
  <c r="L42" i="87"/>
  <c r="L41" i="87"/>
  <c r="L32" i="87"/>
  <c r="L31" i="87"/>
  <c r="L30" i="87"/>
  <c r="L29" i="87"/>
  <c r="L28" i="87"/>
  <c r="L27" i="87"/>
  <c r="L26" i="87"/>
  <c r="L25" i="87"/>
  <c r="L24" i="87"/>
  <c r="L23" i="87"/>
  <c r="L22" i="87"/>
  <c r="L21" i="87"/>
  <c r="L20" i="87"/>
  <c r="L19" i="87"/>
  <c r="L18" i="87"/>
  <c r="L17" i="87"/>
  <c r="L16" i="87"/>
  <c r="L15" i="87"/>
  <c r="L14" i="87"/>
  <c r="L13" i="87"/>
  <c r="L12" i="87"/>
  <c r="L11" i="87"/>
  <c r="L7" i="87"/>
  <c r="L6" i="87"/>
  <c r="L5" i="87"/>
  <c r="L4" i="87"/>
  <c r="L3" i="87"/>
  <c r="K34" i="86"/>
  <c r="K8" i="86"/>
  <c r="K18" i="85" l="1"/>
  <c r="K7" i="85"/>
  <c r="L35" i="86" l="1"/>
  <c r="L34" i="86"/>
  <c r="L33" i="86"/>
  <c r="L32" i="86"/>
  <c r="L31" i="86"/>
  <c r="L30" i="86"/>
  <c r="L29" i="86"/>
  <c r="L28" i="86"/>
  <c r="L27" i="86"/>
  <c r="L26" i="86"/>
  <c r="L25" i="86"/>
  <c r="L24" i="86"/>
  <c r="L23" i="86"/>
  <c r="L22" i="86"/>
  <c r="L21" i="86"/>
  <c r="L20" i="86"/>
  <c r="L19" i="86"/>
  <c r="L18" i="86"/>
  <c r="L17" i="86"/>
  <c r="L16" i="86"/>
  <c r="L15" i="86"/>
  <c r="L14" i="86"/>
  <c r="L13" i="86"/>
  <c r="L12" i="86"/>
  <c r="L11" i="86"/>
  <c r="L10" i="86"/>
  <c r="L9" i="86"/>
  <c r="L8" i="86"/>
  <c r="L7" i="86"/>
  <c r="L6" i="86"/>
  <c r="L5" i="86"/>
  <c r="L4" i="86"/>
  <c r="L3" i="86"/>
  <c r="L23" i="85" l="1"/>
  <c r="L22" i="85"/>
  <c r="L21" i="85"/>
  <c r="L20" i="85"/>
  <c r="L19" i="85"/>
  <c r="L18" i="85"/>
  <c r="L17" i="85"/>
  <c r="L16" i="85"/>
  <c r="L15" i="85"/>
  <c r="L14" i="85"/>
  <c r="L13" i="85"/>
  <c r="L12" i="85"/>
  <c r="L11" i="85"/>
  <c r="L10" i="85"/>
  <c r="L9" i="85"/>
  <c r="L8" i="85"/>
  <c r="L7" i="85"/>
  <c r="L6" i="85"/>
  <c r="L5" i="85"/>
  <c r="L4" i="85"/>
  <c r="L3" i="85"/>
  <c r="K54" i="84" l="1"/>
  <c r="K20" i="84"/>
  <c r="L50" i="84" l="1"/>
  <c r="L49" i="84"/>
  <c r="L48" i="84"/>
  <c r="L47" i="84"/>
  <c r="L46" i="84"/>
  <c r="L45" i="84"/>
  <c r="L44" i="84"/>
  <c r="L43" i="84"/>
  <c r="L42" i="84"/>
  <c r="L41" i="84"/>
  <c r="L40" i="84"/>
  <c r="L39" i="84"/>
  <c r="L38" i="84"/>
  <c r="L58" i="84"/>
  <c r="L57" i="84"/>
  <c r="L56" i="84"/>
  <c r="L55" i="84"/>
  <c r="L54" i="84"/>
  <c r="L53" i="84"/>
  <c r="L52" i="84"/>
  <c r="L51" i="84"/>
  <c r="L37" i="84" l="1"/>
  <c r="L36" i="84"/>
  <c r="L35" i="84"/>
  <c r="L34" i="84"/>
  <c r="L33" i="84"/>
  <c r="L32" i="84"/>
  <c r="L31" i="84"/>
  <c r="L30" i="84"/>
  <c r="L29" i="84"/>
  <c r="L28" i="84"/>
  <c r="L27" i="84"/>
  <c r="L26" i="84"/>
  <c r="L25" i="84"/>
  <c r="L24" i="84"/>
  <c r="L23" i="84"/>
  <c r="L22" i="84"/>
  <c r="L21" i="84"/>
  <c r="L20" i="84"/>
  <c r="L19" i="84"/>
  <c r="L18" i="84"/>
  <c r="L17" i="84"/>
  <c r="L16" i="84"/>
  <c r="L15" i="84"/>
  <c r="L14" i="84"/>
  <c r="L13" i="84"/>
  <c r="L12" i="84"/>
  <c r="L11" i="84"/>
  <c r="L10" i="84"/>
  <c r="L9" i="84"/>
  <c r="L8" i="84"/>
  <c r="L7" i="84"/>
  <c r="L6" i="84"/>
  <c r="L5" i="84"/>
  <c r="L4" i="84"/>
  <c r="L3" i="84"/>
  <c r="L26" i="83" l="1"/>
  <c r="L27" i="83"/>
  <c r="L28" i="83"/>
  <c r="L29" i="83"/>
  <c r="L30" i="83"/>
  <c r="L31" i="83"/>
  <c r="L32" i="83"/>
  <c r="L33" i="83"/>
  <c r="L34" i="83"/>
  <c r="L35" i="83"/>
  <c r="L36" i="83"/>
  <c r="L37" i="83"/>
  <c r="L38" i="83"/>
  <c r="L39" i="83"/>
  <c r="L40" i="83"/>
  <c r="L25" i="83" l="1"/>
  <c r="L24" i="83"/>
  <c r="L23" i="83"/>
  <c r="L22" i="83"/>
  <c r="L21" i="83"/>
  <c r="L20" i="83"/>
  <c r="L19" i="83"/>
  <c r="L18" i="83"/>
  <c r="L17" i="83"/>
  <c r="L16" i="83"/>
  <c r="L15" i="83"/>
  <c r="L14" i="83"/>
  <c r="L13" i="83"/>
  <c r="L12" i="83"/>
  <c r="L11" i="83"/>
  <c r="L10" i="83"/>
  <c r="L9" i="83"/>
  <c r="L8" i="83"/>
  <c r="L7" i="83"/>
  <c r="L6" i="83"/>
  <c r="L5" i="83"/>
  <c r="L4" i="83"/>
  <c r="L3" i="83"/>
  <c r="K24" i="82" l="1"/>
  <c r="L27" i="82" l="1"/>
  <c r="L26" i="82"/>
  <c r="L25" i="82"/>
  <c r="L24" i="82"/>
  <c r="L23" i="82"/>
  <c r="L22" i="82"/>
  <c r="L21" i="82"/>
  <c r="L20" i="82"/>
  <c r="L19" i="82"/>
  <c r="L18" i="82"/>
  <c r="L17" i="82"/>
  <c r="L16" i="82"/>
  <c r="L15" i="82"/>
  <c r="L14" i="82"/>
  <c r="L13" i="82"/>
  <c r="L12" i="82"/>
  <c r="L11" i="82"/>
  <c r="L10" i="82"/>
  <c r="L9" i="82"/>
  <c r="L8" i="82"/>
  <c r="L7" i="82"/>
  <c r="L6" i="82"/>
  <c r="L5" i="82"/>
  <c r="L4" i="82"/>
  <c r="L3" i="82"/>
  <c r="K7" i="81" l="1"/>
  <c r="L7" i="81" s="1"/>
  <c r="L32" i="81"/>
  <c r="L31" i="81"/>
  <c r="L30" i="81"/>
  <c r="L29" i="81"/>
  <c r="L28" i="81"/>
  <c r="L27" i="81"/>
  <c r="L26" i="81"/>
  <c r="L25" i="81"/>
  <c r="L24" i="81"/>
  <c r="L23" i="81"/>
  <c r="L22" i="81"/>
  <c r="L21" i="81"/>
  <c r="L20" i="81"/>
  <c r="L19" i="81"/>
  <c r="L18" i="81"/>
  <c r="L17" i="81"/>
  <c r="L16" i="81"/>
  <c r="L15" i="81"/>
  <c r="L14" i="81"/>
  <c r="L13" i="81"/>
  <c r="L12" i="81"/>
  <c r="L11" i="81"/>
  <c r="L10" i="81"/>
  <c r="L9" i="81"/>
  <c r="L8" i="81"/>
  <c r="L6" i="81"/>
  <c r="L5" i="81"/>
  <c r="L4" i="81"/>
  <c r="L3" i="81"/>
  <c r="L27" i="80" l="1"/>
  <c r="L28" i="80"/>
  <c r="L29" i="80"/>
  <c r="L30" i="80"/>
  <c r="L31" i="80"/>
  <c r="L32" i="80"/>
  <c r="L33" i="80"/>
  <c r="L34" i="80"/>
  <c r="L35" i="80"/>
  <c r="L36" i="80"/>
  <c r="L37" i="80"/>
  <c r="L38" i="80"/>
  <c r="L39" i="80"/>
  <c r="L40" i="80"/>
  <c r="L41" i="80"/>
  <c r="L42" i="80"/>
  <c r="L43" i="80"/>
  <c r="L44" i="80"/>
  <c r="L26" i="80" l="1"/>
  <c r="L25" i="80"/>
  <c r="L24" i="80"/>
  <c r="L23" i="80"/>
  <c r="L22" i="80"/>
  <c r="L21" i="80"/>
  <c r="L20" i="80"/>
  <c r="L19" i="80"/>
  <c r="L18" i="80"/>
  <c r="L17" i="80"/>
  <c r="L16" i="80"/>
  <c r="L15" i="80"/>
  <c r="L14" i="80"/>
  <c r="L13" i="80"/>
  <c r="L12" i="80"/>
  <c r="L11" i="80"/>
  <c r="L10" i="80"/>
  <c r="L9" i="80"/>
  <c r="L8" i="80"/>
  <c r="L7" i="80"/>
  <c r="L6" i="80"/>
  <c r="L5" i="80"/>
  <c r="L4" i="80"/>
  <c r="L3" i="80"/>
  <c r="K16" i="79" l="1"/>
  <c r="K8" i="78"/>
  <c r="K7" i="78"/>
  <c r="K6" i="78"/>
  <c r="L26" i="79" l="1"/>
  <c r="L25" i="79"/>
  <c r="L24" i="79"/>
  <c r="L23" i="79"/>
  <c r="L22" i="79"/>
  <c r="L21" i="79"/>
  <c r="L20" i="79"/>
  <c r="L19" i="79"/>
  <c r="L18" i="79"/>
  <c r="L17" i="79"/>
  <c r="L16" i="79"/>
  <c r="L15" i="79"/>
  <c r="L14" i="79"/>
  <c r="L13" i="79"/>
  <c r="L12" i="79"/>
  <c r="L11" i="79"/>
  <c r="L10" i="79"/>
  <c r="L9" i="79"/>
  <c r="L8" i="79"/>
  <c r="L7" i="79"/>
  <c r="L6" i="79"/>
  <c r="L5" i="79"/>
  <c r="L4" i="79"/>
  <c r="L3" i="79"/>
  <c r="L42" i="77" l="1"/>
  <c r="L43" i="77"/>
  <c r="L39" i="77"/>
  <c r="L5" i="77"/>
  <c r="L6" i="77"/>
  <c r="L7" i="77"/>
  <c r="L8" i="77"/>
  <c r="L9" i="77"/>
  <c r="L10" i="77"/>
  <c r="L11" i="77"/>
  <c r="L12" i="77"/>
  <c r="L13" i="77"/>
  <c r="L14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29" i="77"/>
  <c r="L35" i="78" l="1"/>
  <c r="L34" i="78"/>
  <c r="L33" i="78"/>
  <c r="L32" i="78"/>
  <c r="L31" i="78"/>
  <c r="L30" i="78"/>
  <c r="L29" i="78"/>
  <c r="L28" i="78"/>
  <c r="L27" i="78"/>
  <c r="L26" i="78"/>
  <c r="L25" i="78"/>
  <c r="L24" i="78"/>
  <c r="L23" i="78"/>
  <c r="L22" i="78"/>
  <c r="L21" i="78"/>
  <c r="L20" i="78"/>
  <c r="L19" i="78"/>
  <c r="L18" i="78"/>
  <c r="L17" i="78"/>
  <c r="L16" i="78"/>
  <c r="L15" i="78"/>
  <c r="L14" i="78"/>
  <c r="L13" i="78"/>
  <c r="L12" i="78"/>
  <c r="L11" i="78"/>
  <c r="L10" i="78"/>
  <c r="L9" i="78"/>
  <c r="L8" i="78"/>
  <c r="L7" i="78"/>
  <c r="L6" i="78"/>
  <c r="L5" i="78"/>
  <c r="L4" i="78"/>
  <c r="L3" i="78"/>
  <c r="K36" i="77" l="1"/>
  <c r="L44" i="77" l="1"/>
  <c r="L41" i="77"/>
  <c r="L40" i="77"/>
  <c r="L38" i="77"/>
  <c r="L37" i="77"/>
  <c r="L36" i="77"/>
  <c r="L35" i="77"/>
  <c r="L34" i="77"/>
  <c r="L33" i="77"/>
  <c r="L32" i="77"/>
  <c r="L31" i="77"/>
  <c r="L30" i="77"/>
  <c r="L4" i="77"/>
  <c r="L3" i="77"/>
  <c r="L10" i="76" l="1"/>
  <c r="L17" i="76" l="1"/>
  <c r="L16" i="76"/>
  <c r="L15" i="76"/>
  <c r="L14" i="76"/>
  <c r="L13" i="76"/>
  <c r="L12" i="76"/>
  <c r="L11" i="76"/>
  <c r="L9" i="76"/>
  <c r="L8" i="76"/>
  <c r="L7" i="76"/>
  <c r="L6" i="76"/>
  <c r="L5" i="76"/>
  <c r="L4" i="76"/>
  <c r="L3" i="76"/>
  <c r="K16" i="75" l="1"/>
  <c r="K14" i="75"/>
  <c r="K12" i="75"/>
  <c r="K11" i="75"/>
  <c r="K8" i="75"/>
  <c r="L4" i="74" l="1"/>
  <c r="L5" i="74"/>
  <c r="L6" i="74"/>
  <c r="L7" i="74"/>
  <c r="L8" i="74"/>
  <c r="L29" i="75" l="1"/>
  <c r="L30" i="75"/>
  <c r="L31" i="75"/>
  <c r="L32" i="75"/>
  <c r="L33" i="75"/>
  <c r="L34" i="75"/>
  <c r="L35" i="75"/>
  <c r="L36" i="75"/>
  <c r="L37" i="75"/>
  <c r="L38" i="75"/>
  <c r="L28" i="75" l="1"/>
  <c r="L27" i="75"/>
  <c r="L26" i="75"/>
  <c r="L25" i="75"/>
  <c r="L24" i="75"/>
  <c r="L23" i="75"/>
  <c r="L22" i="75"/>
  <c r="L21" i="75"/>
  <c r="L20" i="75"/>
  <c r="L19" i="75"/>
  <c r="L18" i="75"/>
  <c r="L17" i="75"/>
  <c r="L16" i="75"/>
  <c r="L15" i="75"/>
  <c r="L14" i="75"/>
  <c r="L13" i="75"/>
  <c r="L12" i="75"/>
  <c r="L11" i="75"/>
  <c r="L10" i="75"/>
  <c r="L9" i="75"/>
  <c r="L8" i="75"/>
  <c r="L7" i="75"/>
  <c r="L6" i="75"/>
  <c r="L5" i="75"/>
  <c r="L4" i="75"/>
  <c r="L3" i="75"/>
  <c r="K3" i="64" l="1"/>
  <c r="K24" i="72" l="1"/>
  <c r="K11" i="72"/>
  <c r="L33" i="74" l="1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L9" i="74"/>
  <c r="L3" i="74"/>
  <c r="L6" i="73" l="1"/>
  <c r="L5" i="73"/>
  <c r="L4" i="73"/>
  <c r="L3" i="73"/>
  <c r="K5" i="71" l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4" i="71"/>
  <c r="L35" i="72" l="1"/>
  <c r="L34" i="72"/>
  <c r="L33" i="72"/>
  <c r="L32" i="72"/>
  <c r="L31" i="72"/>
  <c r="L30" i="72"/>
  <c r="L29" i="72"/>
  <c r="L28" i="72"/>
  <c r="L27" i="72"/>
  <c r="L26" i="72"/>
  <c r="L25" i="72"/>
  <c r="L24" i="72"/>
  <c r="L23" i="72"/>
  <c r="L22" i="72"/>
  <c r="L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L7" i="72"/>
  <c r="L6" i="72"/>
  <c r="L5" i="72"/>
  <c r="L4" i="72"/>
  <c r="L3" i="72"/>
  <c r="L18" i="71"/>
  <c r="L16" i="71"/>
  <c r="L15" i="71"/>
  <c r="L7" i="71" l="1"/>
  <c r="L19" i="71" l="1"/>
  <c r="L17" i="71"/>
  <c r="L14" i="71"/>
  <c r="L13" i="71"/>
  <c r="L12" i="71"/>
  <c r="L11" i="71"/>
  <c r="L10" i="71"/>
  <c r="L9" i="71"/>
  <c r="L8" i="71"/>
  <c r="L6" i="71"/>
  <c r="L5" i="71"/>
  <c r="L4" i="71"/>
  <c r="L3" i="71"/>
  <c r="L46" i="70" l="1"/>
  <c r="L47" i="70"/>
  <c r="L48" i="70"/>
  <c r="L49" i="70"/>
  <c r="L50" i="70"/>
  <c r="L51" i="70"/>
  <c r="L52" i="70"/>
  <c r="L53" i="70"/>
  <c r="L54" i="70"/>
  <c r="L55" i="70"/>
  <c r="L56" i="70"/>
  <c r="L57" i="70"/>
  <c r="L58" i="70"/>
  <c r="L59" i="70"/>
  <c r="L60" i="70"/>
  <c r="L61" i="70"/>
  <c r="L45" i="70" l="1"/>
  <c r="L44" i="70"/>
  <c r="L43" i="70"/>
  <c r="L42" i="70"/>
  <c r="L41" i="70"/>
  <c r="L40" i="70"/>
  <c r="L39" i="70"/>
  <c r="L38" i="70"/>
  <c r="L37" i="70"/>
  <c r="L36" i="70"/>
  <c r="L35" i="70"/>
  <c r="L34" i="70"/>
  <c r="L33" i="70"/>
  <c r="L32" i="70"/>
  <c r="L31" i="70"/>
  <c r="L30" i="70"/>
  <c r="L29" i="70"/>
  <c r="L28" i="70"/>
  <c r="L27" i="70"/>
  <c r="L26" i="70"/>
  <c r="L25" i="70"/>
  <c r="L24" i="70"/>
  <c r="L23" i="70"/>
  <c r="L22" i="70"/>
  <c r="L21" i="70"/>
  <c r="L20" i="70"/>
  <c r="L19" i="70"/>
  <c r="L18" i="70"/>
  <c r="L17" i="70"/>
  <c r="L16" i="70"/>
  <c r="L15" i="70"/>
  <c r="L14" i="70"/>
  <c r="L13" i="70"/>
  <c r="L12" i="70"/>
  <c r="L11" i="70"/>
  <c r="L10" i="70"/>
  <c r="L9" i="70"/>
  <c r="L8" i="70"/>
  <c r="L7" i="70"/>
  <c r="L6" i="70"/>
  <c r="L5" i="70"/>
  <c r="L4" i="70"/>
  <c r="L3" i="70"/>
  <c r="L14" i="68" l="1"/>
  <c r="L25" i="68" l="1"/>
  <c r="L24" i="68"/>
  <c r="L23" i="68"/>
  <c r="L22" i="68"/>
  <c r="L21" i="68"/>
  <c r="L20" i="68"/>
  <c r="L19" i="68"/>
  <c r="L18" i="68"/>
  <c r="L17" i="68"/>
  <c r="L16" i="68"/>
  <c r="L15" i="68"/>
  <c r="L13" i="68"/>
  <c r="L12" i="68"/>
  <c r="L11" i="68"/>
  <c r="L10" i="68"/>
  <c r="L9" i="68"/>
  <c r="L8" i="68"/>
  <c r="L7" i="68"/>
  <c r="L6" i="68"/>
  <c r="L5" i="68"/>
  <c r="L4" i="68"/>
  <c r="L3" i="68"/>
  <c r="K15" i="67" l="1"/>
  <c r="L20" i="67" l="1"/>
  <c r="L3" i="65" l="1"/>
  <c r="L4" i="65"/>
  <c r="L37" i="65" l="1"/>
  <c r="L38" i="65"/>
  <c r="L39" i="65"/>
  <c r="L40" i="65"/>
  <c r="L41" i="65"/>
  <c r="L42" i="65"/>
  <c r="L43" i="65"/>
  <c r="L44" i="65"/>
  <c r="L45" i="65"/>
  <c r="L46" i="65"/>
  <c r="L47" i="65"/>
  <c r="L48" i="65"/>
  <c r="L40" i="67" l="1"/>
  <c r="L41" i="67"/>
  <c r="L42" i="67"/>
  <c r="L43" i="67"/>
  <c r="L44" i="67"/>
  <c r="L45" i="67"/>
  <c r="L39" i="67" l="1"/>
  <c r="L38" i="67"/>
  <c r="L37" i="67"/>
  <c r="L36" i="67"/>
  <c r="L35" i="67"/>
  <c r="L34" i="67"/>
  <c r="L33" i="67"/>
  <c r="L32" i="67"/>
  <c r="L31" i="67"/>
  <c r="L30" i="67"/>
  <c r="L29" i="67"/>
  <c r="L28" i="67"/>
  <c r="L27" i="67"/>
  <c r="L26" i="67"/>
  <c r="L25" i="67"/>
  <c r="L24" i="67"/>
  <c r="L23" i="67"/>
  <c r="L22" i="67"/>
  <c r="L21" i="67"/>
  <c r="L19" i="67"/>
  <c r="L18" i="67"/>
  <c r="L17" i="67"/>
  <c r="L16" i="67"/>
  <c r="L15" i="67"/>
  <c r="L14" i="67"/>
  <c r="L13" i="67"/>
  <c r="L12" i="67"/>
  <c r="L11" i="67"/>
  <c r="L10" i="67"/>
  <c r="L9" i="67"/>
  <c r="L8" i="67"/>
  <c r="L7" i="67"/>
  <c r="L6" i="67"/>
  <c r="L5" i="67"/>
  <c r="L4" i="67"/>
  <c r="L3" i="67"/>
  <c r="L36" i="65" l="1"/>
  <c r="L23" i="66" l="1"/>
  <c r="L24" i="66"/>
  <c r="L25" i="66"/>
  <c r="L26" i="66" l="1"/>
  <c r="L27" i="66"/>
  <c r="L28" i="66"/>
  <c r="L29" i="66"/>
  <c r="L22" i="66" l="1"/>
  <c r="L21" i="66"/>
  <c r="L20" i="66"/>
  <c r="L19" i="66"/>
  <c r="L18" i="66"/>
  <c r="L17" i="66"/>
  <c r="L16" i="66"/>
  <c r="L15" i="66"/>
  <c r="L14" i="66"/>
  <c r="L13" i="66"/>
  <c r="L12" i="66"/>
  <c r="L11" i="66"/>
  <c r="L10" i="66"/>
  <c r="L9" i="66"/>
  <c r="L8" i="66"/>
  <c r="L7" i="66"/>
  <c r="L6" i="66"/>
  <c r="L5" i="66"/>
  <c r="L4" i="66"/>
  <c r="L3" i="66"/>
  <c r="K4" i="64" l="1"/>
  <c r="L45" i="64" l="1"/>
  <c r="L46" i="64"/>
  <c r="L47" i="64"/>
  <c r="L48" i="64"/>
  <c r="L35" i="65" l="1"/>
  <c r="L34" i="65"/>
  <c r="L33" i="65"/>
  <c r="L32" i="65"/>
  <c r="L31" i="65"/>
  <c r="L30" i="65"/>
  <c r="L29" i="65"/>
  <c r="L28" i="65"/>
  <c r="L27" i="65"/>
  <c r="L26" i="65"/>
  <c r="L25" i="65"/>
  <c r="L24" i="65"/>
  <c r="L23" i="65"/>
  <c r="L22" i="65"/>
  <c r="L21" i="65"/>
  <c r="L20" i="65"/>
  <c r="L19" i="65"/>
  <c r="L18" i="65"/>
  <c r="L17" i="65"/>
  <c r="L16" i="65"/>
  <c r="L15" i="65"/>
  <c r="L14" i="65"/>
  <c r="L13" i="65"/>
  <c r="L12" i="65"/>
  <c r="L11" i="65"/>
  <c r="L10" i="65"/>
  <c r="L9" i="65"/>
  <c r="L8" i="65"/>
  <c r="L7" i="65"/>
  <c r="L6" i="65"/>
  <c r="L5" i="65"/>
  <c r="L53" i="64" l="1"/>
  <c r="L52" i="64"/>
  <c r="L51" i="64"/>
  <c r="L50" i="64"/>
  <c r="L49" i="64"/>
  <c r="L44" i="64"/>
  <c r="L43" i="64"/>
  <c r="L42" i="64"/>
  <c r="L41" i="64"/>
  <c r="L40" i="64"/>
  <c r="L39" i="64"/>
  <c r="L38" i="64"/>
  <c r="L37" i="64"/>
  <c r="L36" i="64"/>
  <c r="L35" i="64"/>
  <c r="L34" i="64"/>
  <c r="L33" i="64"/>
  <c r="L32" i="64"/>
  <c r="L31" i="64"/>
  <c r="L30" i="64"/>
  <c r="L29" i="64"/>
  <c r="L28" i="64"/>
  <c r="L27" i="64"/>
  <c r="L26" i="64"/>
  <c r="L25" i="64"/>
  <c r="L24" i="64"/>
  <c r="L23" i="64"/>
  <c r="L22" i="64"/>
  <c r="L21" i="64"/>
  <c r="L20" i="64"/>
  <c r="L19" i="64"/>
  <c r="L18" i="64"/>
  <c r="L17" i="64"/>
  <c r="L16" i="64"/>
  <c r="L15" i="64"/>
  <c r="L14" i="64"/>
  <c r="L13" i="64"/>
  <c r="L12" i="64"/>
  <c r="L11" i="64"/>
  <c r="L10" i="64"/>
  <c r="L9" i="64"/>
  <c r="L8" i="64"/>
  <c r="L7" i="64"/>
  <c r="L6" i="64"/>
  <c r="L5" i="64"/>
  <c r="L4" i="64"/>
  <c r="L3" i="64"/>
  <c r="L29" i="63" l="1"/>
  <c r="L24" i="63"/>
  <c r="L25" i="63"/>
  <c r="L26" i="63"/>
  <c r="L27" i="63"/>
  <c r="L28" i="63"/>
  <c r="L4" i="63"/>
  <c r="L5" i="63"/>
  <c r="K50" i="63" l="1"/>
  <c r="L47" i="63"/>
  <c r="L48" i="63"/>
  <c r="L49" i="63"/>
  <c r="L50" i="63"/>
  <c r="L39" i="63"/>
  <c r="L40" i="63"/>
  <c r="L41" i="63"/>
  <c r="L54" i="63" l="1"/>
  <c r="L53" i="63"/>
  <c r="L52" i="63"/>
  <c r="L51" i="63"/>
  <c r="L46" i="63"/>
  <c r="L45" i="63"/>
  <c r="L44" i="63"/>
  <c r="L43" i="63"/>
  <c r="L42" i="63"/>
  <c r="L38" i="63"/>
  <c r="L37" i="63"/>
  <c r="L36" i="63"/>
  <c r="L35" i="63"/>
  <c r="L34" i="63"/>
  <c r="L33" i="63"/>
  <c r="L32" i="63"/>
  <c r="L31" i="63"/>
  <c r="L30" i="63"/>
  <c r="L23" i="63"/>
  <c r="L22" i="63"/>
  <c r="L21" i="63"/>
  <c r="L20" i="63"/>
  <c r="L19" i="63"/>
  <c r="L18" i="63"/>
  <c r="L17" i="63"/>
  <c r="L16" i="63"/>
  <c r="L15" i="63"/>
  <c r="L14" i="63"/>
  <c r="L13" i="63"/>
  <c r="L12" i="63"/>
  <c r="L11" i="63"/>
  <c r="L10" i="63"/>
  <c r="L9" i="63"/>
  <c r="L8" i="63"/>
  <c r="L7" i="63"/>
  <c r="L6" i="63"/>
  <c r="L3" i="63"/>
  <c r="L50" i="62"/>
  <c r="L51" i="62"/>
  <c r="L28" i="62" l="1"/>
  <c r="L29" i="62"/>
  <c r="L30" i="62"/>
  <c r="L31" i="62"/>
  <c r="L7" i="62"/>
  <c r="L8" i="62"/>
  <c r="L9" i="62"/>
  <c r="L10" i="62"/>
  <c r="K13" i="62" l="1"/>
  <c r="L15" i="62" l="1"/>
  <c r="L52" i="62" l="1"/>
  <c r="L53" i="62"/>
  <c r="L54" i="62"/>
  <c r="L49" i="62" l="1"/>
  <c r="L48" i="62"/>
  <c r="L47" i="62"/>
  <c r="L46" i="62"/>
  <c r="L45" i="62"/>
  <c r="L44" i="62"/>
  <c r="L43" i="62"/>
  <c r="L42" i="62"/>
  <c r="L41" i="62"/>
  <c r="L40" i="62"/>
  <c r="L39" i="62"/>
  <c r="L38" i="62"/>
  <c r="L37" i="62"/>
  <c r="L36" i="62"/>
  <c r="L35" i="62"/>
  <c r="L34" i="62"/>
  <c r="L33" i="62"/>
  <c r="L32" i="62"/>
  <c r="L27" i="62"/>
  <c r="L26" i="62"/>
  <c r="L25" i="62"/>
  <c r="L24" i="62"/>
  <c r="L23" i="62"/>
  <c r="L22" i="62"/>
  <c r="L21" i="62"/>
  <c r="L20" i="62"/>
  <c r="L19" i="62"/>
  <c r="L18" i="62"/>
  <c r="L17" i="62"/>
  <c r="L16" i="62"/>
  <c r="L14" i="62"/>
  <c r="L13" i="62"/>
  <c r="L12" i="62"/>
  <c r="L11" i="62"/>
  <c r="L6" i="62"/>
  <c r="L5" i="62"/>
  <c r="L4" i="62"/>
  <c r="L3" i="62"/>
  <c r="L23" i="61" l="1"/>
  <c r="L24" i="61"/>
  <c r="L25" i="61"/>
  <c r="L26" i="61"/>
  <c r="L7" i="61"/>
  <c r="L8" i="61"/>
  <c r="L9" i="61"/>
  <c r="L10" i="61"/>
  <c r="K16" i="61" l="1"/>
  <c r="K12" i="61"/>
  <c r="L25" i="60" l="1"/>
  <c r="L26" i="60"/>
  <c r="L27" i="60"/>
  <c r="L28" i="60"/>
  <c r="L29" i="60"/>
  <c r="L30" i="60"/>
  <c r="L31" i="60"/>
  <c r="L32" i="60"/>
  <c r="L33" i="60"/>
  <c r="L34" i="60"/>
  <c r="L35" i="60"/>
  <c r="L36" i="60"/>
  <c r="L37" i="60"/>
  <c r="L38" i="60"/>
  <c r="L39" i="60"/>
  <c r="L40" i="60"/>
  <c r="L41" i="60"/>
  <c r="L42" i="60"/>
  <c r="L43" i="60"/>
  <c r="L44" i="60"/>
  <c r="L45" i="60"/>
  <c r="L29" i="61" l="1"/>
  <c r="L30" i="61"/>
  <c r="L31" i="61"/>
  <c r="L32" i="6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28" i="61"/>
  <c r="L27" i="61"/>
  <c r="L22" i="61"/>
  <c r="L21" i="61"/>
  <c r="L20" i="61"/>
  <c r="L19" i="61"/>
  <c r="L18" i="61"/>
  <c r="L17" i="61"/>
  <c r="L16" i="61"/>
  <c r="L15" i="61"/>
  <c r="L14" i="61"/>
  <c r="L13" i="61"/>
  <c r="L12" i="61"/>
  <c r="L11" i="61"/>
  <c r="L6" i="61"/>
  <c r="L5" i="61"/>
  <c r="L4" i="61"/>
  <c r="L3" i="61"/>
  <c r="L24" i="60" l="1"/>
  <c r="L23" i="60"/>
  <c r="L22" i="60"/>
  <c r="L21" i="60"/>
  <c r="L20" i="60"/>
  <c r="L19" i="60"/>
  <c r="L18" i="60"/>
  <c r="L17" i="60"/>
  <c r="L16" i="60"/>
  <c r="L15" i="60"/>
  <c r="L14" i="60"/>
  <c r="L13" i="60"/>
  <c r="L12" i="60"/>
  <c r="L11" i="60"/>
  <c r="L10" i="60"/>
  <c r="L9" i="60"/>
  <c r="L8" i="60"/>
  <c r="L7" i="60"/>
  <c r="L6" i="60"/>
  <c r="L5" i="60"/>
  <c r="L4" i="60"/>
  <c r="L3" i="60"/>
  <c r="L51" i="59"/>
  <c r="L52" i="59"/>
  <c r="L53" i="59"/>
  <c r="L41" i="59"/>
  <c r="L42" i="59"/>
  <c r="L29" i="59" l="1"/>
  <c r="L30" i="59"/>
  <c r="L31" i="59"/>
  <c r="L32" i="59"/>
  <c r="L8" i="59"/>
  <c r="L9" i="59"/>
  <c r="L10" i="59"/>
  <c r="L11" i="59"/>
  <c r="K19" i="59" l="1"/>
  <c r="K7" i="59"/>
  <c r="L43" i="58" l="1"/>
  <c r="L4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56" i="59" l="1"/>
  <c r="L55" i="59"/>
  <c r="L54" i="59"/>
  <c r="L50" i="59"/>
  <c r="L49" i="59"/>
  <c r="L48" i="59"/>
  <c r="L47" i="59"/>
  <c r="L46" i="59"/>
  <c r="L45" i="59"/>
  <c r="L44" i="59"/>
  <c r="L43" i="59"/>
  <c r="L40" i="59"/>
  <c r="L39" i="59"/>
  <c r="L38" i="59"/>
  <c r="L37" i="59"/>
  <c r="L36" i="59"/>
  <c r="L35" i="59"/>
  <c r="L34" i="59"/>
  <c r="L33" i="59"/>
  <c r="L28" i="59"/>
  <c r="L27" i="59"/>
  <c r="L26" i="59"/>
  <c r="L25" i="59"/>
  <c r="L24" i="59"/>
  <c r="L23" i="59"/>
  <c r="L22" i="59"/>
  <c r="L21" i="59"/>
  <c r="L20" i="59"/>
  <c r="L19" i="59"/>
  <c r="L18" i="59"/>
  <c r="L17" i="59"/>
  <c r="L16" i="59"/>
  <c r="L15" i="59"/>
  <c r="L14" i="59"/>
  <c r="L13" i="59"/>
  <c r="L12" i="59"/>
  <c r="L7" i="59"/>
  <c r="L6" i="59"/>
  <c r="L5" i="59"/>
  <c r="L4" i="59"/>
  <c r="L3" i="59"/>
  <c r="L42" i="58" l="1"/>
  <c r="L41" i="58"/>
  <c r="L40" i="58"/>
  <c r="L39" i="58"/>
  <c r="L38" i="58"/>
  <c r="L37" i="58"/>
  <c r="L36" i="58"/>
  <c r="L35" i="58"/>
  <c r="L34" i="58"/>
  <c r="L33" i="58"/>
  <c r="L32" i="58"/>
  <c r="L31" i="58"/>
  <c r="L30" i="58"/>
  <c r="L29" i="58"/>
  <c r="L28" i="58"/>
  <c r="L27" i="58"/>
  <c r="L26" i="58"/>
  <c r="L25" i="58"/>
  <c r="L24" i="58"/>
  <c r="L23" i="58"/>
  <c r="L22" i="58"/>
  <c r="L21" i="58"/>
  <c r="L20" i="58"/>
  <c r="L19" i="58"/>
  <c r="L18" i="58"/>
  <c r="L17" i="58"/>
  <c r="L16" i="58"/>
  <c r="L15" i="58"/>
  <c r="L14" i="58"/>
  <c r="L13" i="58"/>
  <c r="L12" i="58"/>
  <c r="L11" i="58"/>
  <c r="L10" i="58"/>
  <c r="L9" i="58"/>
  <c r="L8" i="58"/>
  <c r="L7" i="58"/>
  <c r="L6" i="58"/>
  <c r="L5" i="58"/>
  <c r="L4" i="58"/>
  <c r="L3" i="58"/>
  <c r="L40" i="57"/>
  <c r="L41" i="57"/>
  <c r="L42" i="57"/>
  <c r="L43" i="57"/>
  <c r="L44" i="57"/>
  <c r="L45" i="57"/>
  <c r="L32" i="57"/>
  <c r="L33" i="57"/>
  <c r="L20" i="57" l="1"/>
  <c r="L21" i="57"/>
  <c r="L22" i="57"/>
  <c r="L23" i="57"/>
  <c r="L24" i="57"/>
  <c r="L25" i="57"/>
  <c r="L5" i="57"/>
  <c r="L6" i="57"/>
  <c r="L7" i="57"/>
  <c r="K46" i="57" l="1"/>
  <c r="L22" i="56" l="1"/>
  <c r="L23" i="56"/>
  <c r="L24" i="56"/>
  <c r="L25" i="56"/>
  <c r="L26" i="56"/>
  <c r="L27" i="56"/>
  <c r="L28" i="56"/>
  <c r="L29" i="56"/>
  <c r="L30" i="56"/>
  <c r="L31" i="56"/>
  <c r="L29" i="57" l="1"/>
  <c r="L30" i="57"/>
  <c r="L31" i="57"/>
  <c r="L34" i="57"/>
  <c r="L35" i="57"/>
  <c r="L36" i="57"/>
  <c r="L37" i="57"/>
  <c r="L38" i="57"/>
  <c r="L39" i="57"/>
  <c r="L46" i="57"/>
  <c r="L47" i="57"/>
  <c r="L48" i="57"/>
  <c r="L28" i="57"/>
  <c r="L27" i="57"/>
  <c r="L26" i="57"/>
  <c r="L19" i="57"/>
  <c r="L18" i="57"/>
  <c r="L17" i="57"/>
  <c r="L16" i="57"/>
  <c r="L15" i="57"/>
  <c r="L14" i="57"/>
  <c r="L13" i="57"/>
  <c r="L12" i="57"/>
  <c r="L11" i="57"/>
  <c r="L10" i="57"/>
  <c r="L9" i="57"/>
  <c r="L8" i="57"/>
  <c r="L4" i="57"/>
  <c r="L3" i="57"/>
  <c r="L21" i="56" l="1"/>
  <c r="L20" i="56"/>
  <c r="L19" i="56"/>
  <c r="L18" i="56"/>
  <c r="L17" i="56"/>
  <c r="L16" i="56"/>
  <c r="L15" i="56"/>
  <c r="L14" i="56"/>
  <c r="L13" i="56"/>
  <c r="L12" i="56"/>
  <c r="L11" i="56"/>
  <c r="L10" i="56"/>
  <c r="L9" i="56"/>
  <c r="L8" i="56"/>
  <c r="L7" i="56"/>
  <c r="L6" i="56"/>
  <c r="L5" i="56"/>
  <c r="L4" i="56"/>
  <c r="L3" i="56"/>
  <c r="L14" i="55" l="1"/>
  <c r="L15" i="55"/>
  <c r="L16" i="55"/>
  <c r="L17" i="55"/>
  <c r="L8" i="55"/>
  <c r="L9" i="55"/>
  <c r="L10" i="55"/>
  <c r="L11" i="55"/>
  <c r="L30" i="54" l="1"/>
  <c r="L31" i="54"/>
  <c r="L32" i="54"/>
  <c r="L33" i="54"/>
  <c r="L34" i="54"/>
  <c r="L35" i="54"/>
  <c r="L36" i="54"/>
  <c r="L37" i="54"/>
  <c r="L38" i="54"/>
  <c r="L39" i="54"/>
  <c r="L40" i="54"/>
  <c r="L41" i="54"/>
  <c r="L42" i="54"/>
  <c r="L43" i="54"/>
  <c r="L44" i="54"/>
  <c r="L45" i="54"/>
  <c r="L46" i="54"/>
  <c r="L30" i="55" l="1"/>
  <c r="L29" i="55"/>
  <c r="L28" i="55"/>
  <c r="L27" i="55"/>
  <c r="L26" i="55"/>
  <c r="L25" i="55"/>
  <c r="L24" i="55"/>
  <c r="L23" i="55"/>
  <c r="L22" i="55"/>
  <c r="L21" i="55"/>
  <c r="L20" i="55"/>
  <c r="L19" i="55"/>
  <c r="L18" i="55"/>
  <c r="L13" i="55"/>
  <c r="L12" i="55"/>
  <c r="L7" i="55"/>
  <c r="L6" i="55"/>
  <c r="L5" i="55"/>
  <c r="L4" i="55"/>
  <c r="L3" i="55"/>
  <c r="L6" i="54" l="1"/>
  <c r="L29" i="54" l="1"/>
  <c r="L28" i="54"/>
  <c r="L27" i="54"/>
  <c r="L26" i="54"/>
  <c r="L25" i="54"/>
  <c r="L24" i="54"/>
  <c r="L23" i="54"/>
  <c r="L22" i="54"/>
  <c r="L21" i="54"/>
  <c r="L20" i="54"/>
  <c r="L19" i="54"/>
  <c r="L18" i="54"/>
  <c r="L17" i="54"/>
  <c r="L16" i="54"/>
  <c r="L15" i="54"/>
  <c r="L14" i="54"/>
  <c r="L13" i="54"/>
  <c r="L12" i="54"/>
  <c r="L11" i="54"/>
  <c r="L10" i="54"/>
  <c r="L9" i="54"/>
  <c r="L8" i="54"/>
  <c r="L7" i="54"/>
  <c r="L5" i="54"/>
  <c r="L4" i="54"/>
  <c r="L3" i="54"/>
</calcChain>
</file>

<file path=xl/sharedStrings.xml><?xml version="1.0" encoding="utf-8"?>
<sst xmlns="http://schemas.openxmlformats.org/spreadsheetml/2006/main" count="16417" uniqueCount="494">
  <si>
    <t>Normal P/O</t>
  </si>
  <si>
    <t>ATN</t>
  </si>
  <si>
    <t>MT 03.02</t>
  </si>
  <si>
    <t>S948</t>
  </si>
  <si>
    <t>SUB</t>
  </si>
  <si>
    <t>GH97-31206A</t>
  </si>
  <si>
    <t>S731</t>
  </si>
  <si>
    <t>Line 22</t>
  </si>
  <si>
    <t>Exceptional</t>
  </si>
  <si>
    <t>SUB KD</t>
  </si>
  <si>
    <t>GH97-31468A</t>
  </si>
  <si>
    <t>ATN MID</t>
  </si>
  <si>
    <t>Line 23</t>
  </si>
  <si>
    <t>GH97-31103C</t>
  </si>
  <si>
    <t>Rear</t>
  </si>
  <si>
    <t>A175</t>
  </si>
  <si>
    <t>GH97-31008A</t>
  </si>
  <si>
    <t>F766</t>
  </si>
  <si>
    <t>Line 20</t>
  </si>
  <si>
    <t>REAR</t>
  </si>
  <si>
    <t>Camera</t>
  </si>
  <si>
    <t>Line 21</t>
  </si>
  <si>
    <t>GH97-31267A</t>
  </si>
  <si>
    <t>CAMERA</t>
  </si>
  <si>
    <t>Front</t>
  </si>
  <si>
    <t>GH97-30429A</t>
  </si>
  <si>
    <t>A165</t>
  </si>
  <si>
    <t>A176</t>
  </si>
  <si>
    <t>Line 8</t>
  </si>
  <si>
    <t>Line 9</t>
  </si>
  <si>
    <t>GH97-31202A</t>
  </si>
  <si>
    <t>A576</t>
  </si>
  <si>
    <t>Line 6</t>
  </si>
  <si>
    <t>GH97-30459A</t>
  </si>
  <si>
    <t>A166</t>
  </si>
  <si>
    <t>Line 7</t>
  </si>
  <si>
    <t>FRONT 2</t>
  </si>
  <si>
    <t>Service</t>
  </si>
  <si>
    <t>Line 3</t>
  </si>
  <si>
    <t>GH97-31219A</t>
  </si>
  <si>
    <t>Line 11</t>
  </si>
  <si>
    <t>CHUẨN BỊ</t>
  </si>
  <si>
    <t>Total</t>
  </si>
  <si>
    <t>ĐÃ KT</t>
  </si>
  <si>
    <t>GIAO CA</t>
  </si>
  <si>
    <t>Qty</t>
  </si>
  <si>
    <t>Master date</t>
  </si>
  <si>
    <t>PO Type</t>
  </si>
  <si>
    <t>Type</t>
  </si>
  <si>
    <t>Model Code</t>
  </si>
  <si>
    <t>Model Desc</t>
  </si>
  <si>
    <t>Basic Model</t>
  </si>
  <si>
    <t xml:space="preserve">Line </t>
  </si>
  <si>
    <t>KHU VỰC</t>
  </si>
  <si>
    <t>BACK</t>
  </si>
  <si>
    <t>GH97-31240A</t>
  </si>
  <si>
    <t>GH97-31467A</t>
  </si>
  <si>
    <t>GH97-31475A</t>
  </si>
  <si>
    <t>GH97-31103B</t>
  </si>
  <si>
    <t>GH97-30433A</t>
  </si>
  <si>
    <t>BGL</t>
  </si>
  <si>
    <t>Line 5</t>
  </si>
  <si>
    <t>A266</t>
  </si>
  <si>
    <t>GH97-30725A</t>
  </si>
  <si>
    <t>DOA/SVC</t>
  </si>
  <si>
    <t>GH97-31103A</t>
  </si>
  <si>
    <t>Line 4</t>
  </si>
  <si>
    <t>Line 26</t>
  </si>
  <si>
    <t>F711</t>
  </si>
  <si>
    <t>A156</t>
  </si>
  <si>
    <t>GH97-31777A</t>
  </si>
  <si>
    <t>GH97-31776B</t>
  </si>
  <si>
    <t>GH82-33637A</t>
  </si>
  <si>
    <t>A526</t>
  </si>
  <si>
    <t>MT 28.02</t>
  </si>
  <si>
    <t>MT 02.03</t>
  </si>
  <si>
    <t>GH97-31105A</t>
  </si>
  <si>
    <t>Line 15</t>
  </si>
  <si>
    <t>GH97-31776A</t>
  </si>
  <si>
    <t>MT 03.03</t>
  </si>
  <si>
    <t>GH97-31896B</t>
  </si>
  <si>
    <t xml:space="preserve">  ■ KHSX CA NGÀY 1.3</t>
  </si>
  <si>
    <t xml:space="preserve">  ■ KHSX CA ĐÊM 1.3</t>
  </si>
  <si>
    <t>GH82-25602A</t>
  </si>
  <si>
    <t>GH82-35845A</t>
  </si>
  <si>
    <t>A528</t>
  </si>
  <si>
    <t>GH82-26863D</t>
  </si>
  <si>
    <t>GH82-26863E</t>
  </si>
  <si>
    <t>GH82-26909E</t>
  </si>
  <si>
    <t>GH82-26910E</t>
  </si>
  <si>
    <t>GH82-26911E</t>
  </si>
  <si>
    <t>GH82-35841A</t>
  </si>
  <si>
    <t>GH82-35841C</t>
  </si>
  <si>
    <t>Mater 28.02</t>
  </si>
  <si>
    <t>GH82-26246D</t>
  </si>
  <si>
    <t>Line 1</t>
  </si>
  <si>
    <t>GH97-31237A</t>
  </si>
  <si>
    <t>GH97-31775B</t>
  </si>
  <si>
    <t xml:space="preserve">  ■ KHSX CA NGÀY 2.3</t>
  </si>
  <si>
    <t>Line 18 (B5)</t>
  </si>
  <si>
    <t>F731</t>
  </si>
  <si>
    <t>GH96-17025A</t>
  </si>
  <si>
    <t>PRE SUB ASSY</t>
  </si>
  <si>
    <t>GH96-17025C</t>
  </si>
  <si>
    <t>Line 26 (Laser)</t>
  </si>
  <si>
    <t>F741</t>
  </si>
  <si>
    <t>GH82-35185C</t>
  </si>
  <si>
    <t>GH82-35185E</t>
  </si>
  <si>
    <t>GH82-35234C</t>
  </si>
  <si>
    <t>GH82-35234D</t>
  </si>
  <si>
    <t xml:space="preserve">  ■ KHSX CA ĐÊM 2.3</t>
  </si>
  <si>
    <t>GH97-31220A</t>
  </si>
  <si>
    <t>Line 17</t>
  </si>
  <si>
    <t>A566</t>
  </si>
  <si>
    <t>GH97-30671A</t>
  </si>
  <si>
    <t>GH97-30736A</t>
  </si>
  <si>
    <t>GH97-31896A</t>
  </si>
  <si>
    <t>GH97-30725B</t>
  </si>
  <si>
    <t>S947</t>
  </si>
  <si>
    <t>GH97-31665A</t>
  </si>
  <si>
    <t>ANTENA</t>
  </si>
  <si>
    <t>GH96-20502A</t>
  </si>
  <si>
    <t>BATTERY CHRG</t>
  </si>
  <si>
    <t>REAR TOP</t>
  </si>
  <si>
    <t>GH97-31666A</t>
  </si>
  <si>
    <t>S721</t>
  </si>
  <si>
    <t>Battery</t>
  </si>
  <si>
    <t>GH96-18848B</t>
  </si>
  <si>
    <t>GH96-21165A</t>
  </si>
  <si>
    <t xml:space="preserve">  </t>
  </si>
  <si>
    <t>GH82-31700A</t>
  </si>
  <si>
    <t>SUB SVC</t>
  </si>
  <si>
    <t>MT 04.03</t>
  </si>
  <si>
    <t>S928</t>
  </si>
  <si>
    <t>GH97-29538A</t>
  </si>
  <si>
    <t xml:space="preserve">  ■ KHSX CA NGÀY 3.3</t>
  </si>
  <si>
    <t>Line 12</t>
  </si>
  <si>
    <t>GH96-20855A</t>
  </si>
  <si>
    <t>GH97-31775C</t>
  </si>
  <si>
    <t>GH82-35182A</t>
  </si>
  <si>
    <t>GH82-35182D</t>
  </si>
  <si>
    <t>GH82-35182G</t>
  </si>
  <si>
    <t>GH82-35185A</t>
  </si>
  <si>
    <t>GH82-35185B</t>
  </si>
  <si>
    <t>GH82-35185D</t>
  </si>
  <si>
    <t>GH82-35185G</t>
  </si>
  <si>
    <t>GH82-35187C</t>
  </si>
  <si>
    <t>GH82-35187D</t>
  </si>
  <si>
    <t xml:space="preserve">      </t>
  </si>
  <si>
    <t>S926</t>
  </si>
  <si>
    <t>GH96-16939A</t>
  </si>
  <si>
    <t>GH82-36254A</t>
  </si>
  <si>
    <t>GH82-36255A</t>
  </si>
  <si>
    <t>GH96-21355A</t>
  </si>
  <si>
    <t>GH97-31789A</t>
  </si>
  <si>
    <t>M366</t>
  </si>
  <si>
    <t>GH97-31115A</t>
  </si>
  <si>
    <t>Line 16</t>
  </si>
  <si>
    <t>G988</t>
  </si>
  <si>
    <t>GH97-24666A</t>
  </si>
  <si>
    <t>GH96-14693A</t>
  </si>
  <si>
    <t>GH96-14693B</t>
  </si>
  <si>
    <t xml:space="preserve">  ■ KHSX CA ĐÊM  3.3</t>
  </si>
  <si>
    <t>F721</t>
  </si>
  <si>
    <t>GH96-15508A</t>
  </si>
  <si>
    <t>GH96-15508B</t>
  </si>
  <si>
    <t>GH96-15508C</t>
  </si>
  <si>
    <t>GH96-15508D</t>
  </si>
  <si>
    <t xml:space="preserve">  ■ KHSX CA NGÀY 4.3</t>
  </si>
  <si>
    <t>GH96-21833A</t>
  </si>
  <si>
    <t>GH97-30671D</t>
  </si>
  <si>
    <t>GH97-31777B</t>
  </si>
  <si>
    <t>Line 25</t>
  </si>
  <si>
    <t>F761</t>
  </si>
  <si>
    <t>COVER UB ASSY</t>
  </si>
  <si>
    <t>GH97-30984A</t>
  </si>
  <si>
    <t>GH97-30985A</t>
  </si>
  <si>
    <t>MT  04.03</t>
  </si>
  <si>
    <t xml:space="preserve">  ■ KHSX CA ĐÊM 4.3</t>
  </si>
  <si>
    <t>GH96-18848C</t>
  </si>
  <si>
    <t>GH96-18848D</t>
  </si>
  <si>
    <t>MT 05.03</t>
  </si>
  <si>
    <t>MT 05.02</t>
  </si>
  <si>
    <t xml:space="preserve">  ■ KHSX CA NGÀY 5.3</t>
  </si>
  <si>
    <t>GH82-37049A</t>
  </si>
  <si>
    <t>GH82-37049B</t>
  </si>
  <si>
    <t>GH82-37049C</t>
  </si>
  <si>
    <t>MT 06.03</t>
  </si>
  <si>
    <t>S711</t>
  </si>
  <si>
    <t>GH82-33177A</t>
  </si>
  <si>
    <t>GH82-33177B</t>
  </si>
  <si>
    <t>GH82-33177C</t>
  </si>
  <si>
    <t>GH82-39158B</t>
  </si>
  <si>
    <t>GH82-39158D</t>
  </si>
  <si>
    <t xml:space="preserve">Bảo mật </t>
  </si>
  <si>
    <t>GH96-21356A</t>
  </si>
  <si>
    <t xml:space="preserve">  ■ KHSX CA ĐÊM 5.3</t>
  </si>
  <si>
    <t>GH97-31469A</t>
  </si>
  <si>
    <t xml:space="preserve">  ■ KHSX CA NGÀY 6.3</t>
  </si>
  <si>
    <t>GH82-32541A</t>
  </si>
  <si>
    <t>GH82-32541E</t>
  </si>
  <si>
    <t>GH82-32641A</t>
  </si>
  <si>
    <t>GH82-32692B</t>
  </si>
  <si>
    <t>GH82-32692D</t>
  </si>
  <si>
    <t>GH82-32787A</t>
  </si>
  <si>
    <t>GH82-32787C</t>
  </si>
  <si>
    <t>GH82-32789A</t>
  </si>
  <si>
    <t>GH82-39158A</t>
  </si>
  <si>
    <t>GH82-39158C</t>
  </si>
  <si>
    <t>GH82-39160A</t>
  </si>
  <si>
    <t>GH82-39160B</t>
  </si>
  <si>
    <t>A556</t>
  </si>
  <si>
    <t>GH82-39160C</t>
  </si>
  <si>
    <t>GH82-39160D</t>
  </si>
  <si>
    <t>GH82-39382B</t>
  </si>
  <si>
    <t>MT 07.03</t>
  </si>
  <si>
    <t>GH96-21894A</t>
  </si>
  <si>
    <t>GH96-17802A</t>
  </si>
  <si>
    <t>MT 09.03</t>
  </si>
  <si>
    <t xml:space="preserve">  ■ KHSX CA ĐÊM 6.3 UPDATE</t>
  </si>
  <si>
    <t>GH82-39311A</t>
  </si>
  <si>
    <t>GH96-21997C</t>
  </si>
  <si>
    <t>GH97-31664A</t>
  </si>
  <si>
    <t>Line 24</t>
  </si>
  <si>
    <t>S916</t>
  </si>
  <si>
    <t>GH97-28457A</t>
  </si>
  <si>
    <t>GH96-14693C</t>
  </si>
  <si>
    <t>GH96-14847A</t>
  </si>
  <si>
    <t xml:space="preserve">  ■ KHSX CA NGÀY 7.3</t>
  </si>
  <si>
    <t>MT 09.02</t>
  </si>
  <si>
    <t>MT 07.02</t>
  </si>
  <si>
    <t>GH82-35851A</t>
  </si>
  <si>
    <t>GH82-35851B</t>
  </si>
  <si>
    <t>GH97-30286A</t>
  </si>
  <si>
    <t xml:space="preserve">  ■ KHSX CA ĐÊM 7.3</t>
  </si>
  <si>
    <t>S938</t>
  </si>
  <si>
    <t>GH96-19364A</t>
  </si>
  <si>
    <t>MT 10.02</t>
  </si>
  <si>
    <t>GH82-38625A</t>
  </si>
  <si>
    <t>Line 19 (B4)</t>
  </si>
  <si>
    <t>GH96-15829A</t>
  </si>
  <si>
    <t>GH97-30664B</t>
  </si>
  <si>
    <t>GH97-30680A</t>
  </si>
  <si>
    <t>GH96-21165C</t>
  </si>
  <si>
    <t xml:space="preserve">  ■ KHSX CA NGÀY 8.3</t>
  </si>
  <si>
    <t>MT 10.03</t>
  </si>
  <si>
    <t>GH96-19364B</t>
  </si>
  <si>
    <t>GH97-31789B</t>
  </si>
  <si>
    <t>GH97-31789C</t>
  </si>
  <si>
    <t>GH96-15829B</t>
  </si>
  <si>
    <t>GH96-15829C</t>
  </si>
  <si>
    <t>GH96-15829D</t>
  </si>
  <si>
    <t>GH96-15855C</t>
  </si>
  <si>
    <t>MT  09.03</t>
  </si>
  <si>
    <t>GH82-33941B</t>
  </si>
  <si>
    <t>GH82-33942B</t>
  </si>
  <si>
    <t>GH82-33942C</t>
  </si>
  <si>
    <t>GH82-34950A</t>
  </si>
  <si>
    <t>GH82-39126A</t>
  </si>
  <si>
    <t>GH82-39126B</t>
  </si>
  <si>
    <t>GH82-39126C</t>
  </si>
  <si>
    <t>GH82-39126D</t>
  </si>
  <si>
    <t>GH82-39126E</t>
  </si>
  <si>
    <t>GH82-39126F</t>
  </si>
  <si>
    <t>GH82-39137A</t>
  </si>
  <si>
    <t>GH82-39138B</t>
  </si>
  <si>
    <t>GH82-39138D</t>
  </si>
  <si>
    <t>A155</t>
  </si>
  <si>
    <t>GH82-33488F</t>
  </si>
  <si>
    <t>GH82-33492D</t>
  </si>
  <si>
    <t>MT 9.03</t>
  </si>
  <si>
    <t xml:space="preserve">  ■ KHSX CA ĐÊM 8.3</t>
  </si>
  <si>
    <t>GH97-30708A</t>
  </si>
  <si>
    <t>GH97-30680B</t>
  </si>
  <si>
    <t>Front 2</t>
  </si>
  <si>
    <t>GH96-15855A</t>
  </si>
  <si>
    <t>GH96-15855H</t>
  </si>
  <si>
    <t>GH82-39382A</t>
  </si>
  <si>
    <t>GH82-39382C</t>
  </si>
  <si>
    <t>GH82-39382D</t>
  </si>
  <si>
    <t xml:space="preserve">  ■ KHSX CA NGÀY 9.3</t>
  </si>
  <si>
    <t xml:space="preserve">  ■ KHSX CA ĐÊM 9.3</t>
  </si>
  <si>
    <t>MT 11.03</t>
  </si>
  <si>
    <t>GH97-30664A</t>
  </si>
  <si>
    <t>Line 02</t>
  </si>
  <si>
    <t>S936</t>
  </si>
  <si>
    <t>REAR MID</t>
  </si>
  <si>
    <t>GH97-30405A</t>
  </si>
  <si>
    <t xml:space="preserve">  ■ KHSX CA ĐÊM 9.3 UPDATE</t>
  </si>
  <si>
    <t xml:space="preserve">  ■ KHSX CA NGÀY 10.3</t>
  </si>
  <si>
    <t>GH96-15791C</t>
  </si>
  <si>
    <t xml:space="preserve">CAMERA </t>
  </si>
  <si>
    <t>GH97-30671B</t>
  </si>
  <si>
    <t xml:space="preserve">  ■ KHSX CA ĐÊM UP 10.3</t>
  </si>
  <si>
    <t>GH97-31776D</t>
  </si>
  <si>
    <t>MT 12.03</t>
  </si>
  <si>
    <t xml:space="preserve">  ■ KHSX CA NGÀY 11.3</t>
  </si>
  <si>
    <t>GH97-31896C</t>
  </si>
  <si>
    <t>GH97-28490B</t>
  </si>
  <si>
    <t>GH97-28490C</t>
  </si>
  <si>
    <t>GH97-28490D</t>
  </si>
  <si>
    <t>MT 11.02</t>
  </si>
  <si>
    <t>GH82-32787B</t>
  </si>
  <si>
    <t>GH82-36353C</t>
  </si>
  <si>
    <t>GH82-36353E</t>
  </si>
  <si>
    <t>GH82-36358A</t>
  </si>
  <si>
    <t>GH82-36358B</t>
  </si>
  <si>
    <t>GH82-36358C</t>
  </si>
  <si>
    <t>GH82-36358D</t>
  </si>
  <si>
    <t xml:space="preserve">  ■ KHSX CA ĐÊM 11.3</t>
  </si>
  <si>
    <t>GH82-35850A</t>
  </si>
  <si>
    <t>DECO</t>
  </si>
  <si>
    <t>GH96-20500A</t>
  </si>
  <si>
    <t>GH96-20500C</t>
  </si>
  <si>
    <t xml:space="preserve">     </t>
  </si>
  <si>
    <t xml:space="preserve">  ■ KHSX CA ĐÊM 11.3 UPDATE</t>
  </si>
  <si>
    <t>MT 13.03</t>
  </si>
  <si>
    <t>MT 12.06</t>
  </si>
  <si>
    <t xml:space="preserve">  ■ KHSX CA NGÀY 12.3</t>
  </si>
  <si>
    <t xml:space="preserve">CHUẨN BỊ </t>
  </si>
  <si>
    <t>G990</t>
  </si>
  <si>
    <t>GH97-26622A</t>
  </si>
  <si>
    <t xml:space="preserve">  ■ KHSX CA ĐÊM 12.3</t>
  </si>
  <si>
    <t>GH82-39120A</t>
  </si>
  <si>
    <t>GH82-39124A</t>
  </si>
  <si>
    <t>Line 10</t>
  </si>
  <si>
    <t>GH96-21165B</t>
  </si>
  <si>
    <t>G998</t>
  </si>
  <si>
    <t>GH97-26014A</t>
  </si>
  <si>
    <t>GH97-26014B</t>
  </si>
  <si>
    <t>GH97-26016A</t>
  </si>
  <si>
    <t>GH97-26101A</t>
  </si>
  <si>
    <t>GH97-26113A</t>
  </si>
  <si>
    <t>GH97-26117A</t>
  </si>
  <si>
    <t>GH97-26121A</t>
  </si>
  <si>
    <t>GH97-26123A</t>
  </si>
  <si>
    <t>GH97-26456A</t>
  </si>
  <si>
    <t>BACK 2</t>
  </si>
  <si>
    <t xml:space="preserve">  ■ KHSX CA ĐÊM 12.3 UPDATE</t>
  </si>
  <si>
    <t>MT 14.02</t>
  </si>
  <si>
    <t>MT 14.03</t>
  </si>
  <si>
    <t>GH97-30671C</t>
  </si>
  <si>
    <t>GH96-16461A</t>
  </si>
  <si>
    <t>GH96-16461B</t>
  </si>
  <si>
    <t>GH96-16461D</t>
  </si>
  <si>
    <t>GH97-28490A</t>
  </si>
  <si>
    <t>GH82-36353A</t>
  </si>
  <si>
    <t>GH82-36353D</t>
  </si>
  <si>
    <t>GH82-36353G</t>
  </si>
  <si>
    <t>GH82-35853A</t>
  </si>
  <si>
    <t>GH82-35859A</t>
  </si>
  <si>
    <t>GH82-39287A</t>
  </si>
  <si>
    <t>GH82-34014A</t>
  </si>
  <si>
    <t>GH82-34015A</t>
  </si>
  <si>
    <t>GH97-30736B</t>
  </si>
  <si>
    <t>GH97-31775A</t>
  </si>
  <si>
    <t>MT 16.03</t>
  </si>
  <si>
    <t>GH97-30013A</t>
  </si>
  <si>
    <t xml:space="preserve">  ■ KHSX CA ĐÊM 13.3</t>
  </si>
  <si>
    <t xml:space="preserve">  ■ KHSX CA NGÀY 13.3</t>
  </si>
  <si>
    <t xml:space="preserve">  ■ KHSX CA NGÀY 14.3</t>
  </si>
  <si>
    <t>GH82-29434A</t>
  </si>
  <si>
    <t>GH97-31236A</t>
  </si>
  <si>
    <t>GH82-36353B</t>
  </si>
  <si>
    <t>GH82-36357A</t>
  </si>
  <si>
    <t>GH82-36357B</t>
  </si>
  <si>
    <t>GH82-36357C</t>
  </si>
  <si>
    <t>GH82-36357D</t>
  </si>
  <si>
    <t>GH82-36358G</t>
  </si>
  <si>
    <t xml:space="preserve">  ■ KHSX CA ĐÊM 14.3</t>
  </si>
  <si>
    <t>MT 17.03</t>
  </si>
  <si>
    <t>Line 2</t>
  </si>
  <si>
    <t>GH97-30680C</t>
  </si>
  <si>
    <t xml:space="preserve">  ■ KHSX CA ĐÊM 14.3 UPDATE</t>
  </si>
  <si>
    <t>MT16.03</t>
  </si>
  <si>
    <t>GH97-28457B</t>
  </si>
  <si>
    <t xml:space="preserve">  ■ KHSX CA NGÀY 16.3</t>
  </si>
  <si>
    <t>GH97-31758A</t>
  </si>
  <si>
    <t xml:space="preserve">  ■ KHSX CA ĐÊM 16.3</t>
  </si>
  <si>
    <t>GH96-21165D</t>
  </si>
  <si>
    <t xml:space="preserve">SUB </t>
  </si>
  <si>
    <t>MT 18.03</t>
  </si>
  <si>
    <t>GH82-35187A</t>
  </si>
  <si>
    <t>GH82-35193A</t>
  </si>
  <si>
    <t xml:space="preserve">  ■ KHSX CA NGÀY 17.3</t>
  </si>
  <si>
    <t>GH96-19476A</t>
  </si>
  <si>
    <t>GH97-31784B</t>
  </si>
  <si>
    <t>GH97-31784C</t>
  </si>
  <si>
    <t>GH96-16461C</t>
  </si>
  <si>
    <t xml:space="preserve">  ■ KHSX CA ĐÊM 17.3</t>
  </si>
  <si>
    <t>MT 19.03</t>
  </si>
  <si>
    <t xml:space="preserve">  ■ KHSX CA NGÀY 18.3 UPDATE</t>
  </si>
  <si>
    <t>GH96-21355C</t>
  </si>
  <si>
    <t>A525</t>
  </si>
  <si>
    <t>GH82-25754B</t>
  </si>
  <si>
    <t>GH82-25526B</t>
  </si>
  <si>
    <t>GH82-26909A</t>
  </si>
  <si>
    <t>GH82-33941A</t>
  </si>
  <si>
    <t>GH82-33942A</t>
  </si>
  <si>
    <t>GH82-33942D</t>
  </si>
  <si>
    <t>GH82-34282A</t>
  </si>
  <si>
    <t>GH82-34284B</t>
  </si>
  <si>
    <t>GH82-34284C</t>
  </si>
  <si>
    <t>GH82-34289A</t>
  </si>
  <si>
    <t>GH82-34289B</t>
  </si>
  <si>
    <t>GH82-34950B</t>
  </si>
  <si>
    <t>GH82-33489D</t>
  </si>
  <si>
    <t>GH82-33491A</t>
  </si>
  <si>
    <t>GH82-33523C</t>
  </si>
  <si>
    <t>GH97-31849A</t>
  </si>
  <si>
    <t xml:space="preserve">  ■ KHSX CA ĐÊM 18.3</t>
  </si>
  <si>
    <t>MT 20.03</t>
  </si>
  <si>
    <t>A346</t>
  </si>
  <si>
    <t>GH82-31469A</t>
  </si>
  <si>
    <t>MT19.03</t>
  </si>
  <si>
    <t xml:space="preserve">  ■ KHSX CA NGÀY 19.3</t>
  </si>
  <si>
    <t>S901</t>
  </si>
  <si>
    <t>GH97-27137A</t>
  </si>
  <si>
    <t>GH82-26910C</t>
  </si>
  <si>
    <t>GH82-26911A</t>
  </si>
  <si>
    <t xml:space="preserve">  ■ KHSX CA ĐÊM 19.3</t>
  </si>
  <si>
    <t>MT 21.03</t>
  </si>
  <si>
    <t>GH96-21355B</t>
  </si>
  <si>
    <t>GH97-31272A</t>
  </si>
  <si>
    <t xml:space="preserve">GH97-31775C </t>
  </si>
  <si>
    <t>GH82-39137C</t>
  </si>
  <si>
    <t>GH82-39137D</t>
  </si>
  <si>
    <t>GH82-39137E</t>
  </si>
  <si>
    <t>GH82-39137F</t>
  </si>
  <si>
    <t xml:space="preserve">  ■ KHSX CA NGÀY 20.3</t>
  </si>
  <si>
    <t>GH82-25231A</t>
  </si>
  <si>
    <t>GH82-29433A</t>
  </si>
  <si>
    <t>GH82-25526C</t>
  </si>
  <si>
    <t>GH82-25754C</t>
  </si>
  <si>
    <t>GH82-34660A</t>
  </si>
  <si>
    <t>GH82-26863C</t>
  </si>
  <si>
    <t xml:space="preserve">  ■ KHSX CA ĐÊM  20.3</t>
  </si>
  <si>
    <t>MT 24.03</t>
  </si>
  <si>
    <t>GH82-36359D</t>
  </si>
  <si>
    <t>MT 23.03</t>
  </si>
  <si>
    <t>GH96-15855D</t>
  </si>
  <si>
    <t>GH82-39137B</t>
  </si>
  <si>
    <t xml:space="preserve">  ■ KHSX CA NGÀY 21.3</t>
  </si>
  <si>
    <t>GH82-35182C</t>
  </si>
  <si>
    <t>GH96-19369A</t>
  </si>
  <si>
    <t xml:space="preserve">  ■ KHSX CA ĐÊM 21.3</t>
  </si>
  <si>
    <t>GH97-28490E</t>
  </si>
  <si>
    <t>GH97-28490H</t>
  </si>
  <si>
    <t>GH97-28491B</t>
  </si>
  <si>
    <t>GH97-28491D</t>
  </si>
  <si>
    <t>GH97-28496D</t>
  </si>
  <si>
    <t>GH97-28497A</t>
  </si>
  <si>
    <t>GH97-28501A</t>
  </si>
  <si>
    <t>GH97-28510A</t>
  </si>
  <si>
    <t>GH97-28510B</t>
  </si>
  <si>
    <t>GH97-28510D</t>
  </si>
  <si>
    <t xml:space="preserve">  ■ KHSX CA NGÀY 23.3</t>
  </si>
  <si>
    <t>S937</t>
  </si>
  <si>
    <t xml:space="preserve">  ■ KHSX CA ĐÊM 23.3</t>
  </si>
  <si>
    <t>MT 25.03</t>
  </si>
  <si>
    <t>GH97-26014D</t>
  </si>
  <si>
    <t xml:space="preserve">  ■ KHSX CA NGÀY 24.3</t>
  </si>
  <si>
    <t xml:space="preserve">  ■ KHSX CA ĐÊM 24.3</t>
  </si>
  <si>
    <t>MT 26.03</t>
  </si>
  <si>
    <t>MT 24.05</t>
  </si>
  <si>
    <t>GH82-35234A</t>
  </si>
  <si>
    <t>GH82-35234B</t>
  </si>
  <si>
    <t xml:space="preserve">  ■ KHSX CA ĐÊM 25.3</t>
  </si>
  <si>
    <t>MT 27.03</t>
  </si>
  <si>
    <t>GH82-26909D</t>
  </si>
  <si>
    <t xml:space="preserve">SUB KD </t>
  </si>
  <si>
    <t xml:space="preserve">  ■ KHSX CA NGÀY 25.3</t>
  </si>
  <si>
    <t>S908</t>
  </si>
  <si>
    <t>GH97-27919A</t>
  </si>
  <si>
    <t>GH97-27919C</t>
  </si>
  <si>
    <t>GH82-36827A</t>
  </si>
  <si>
    <t>.</t>
  </si>
  <si>
    <t>Chuẩn bị</t>
  </si>
  <si>
    <t>GH97-30338B</t>
  </si>
  <si>
    <t>A52X</t>
  </si>
  <si>
    <t>GH82-25602D</t>
  </si>
  <si>
    <t>GH82-25754D</t>
  </si>
  <si>
    <t>GH82-25526D</t>
  </si>
  <si>
    <t xml:space="preserve">  ■ KHSX CA NGÀY 26.3</t>
  </si>
  <si>
    <t>RAER</t>
  </si>
  <si>
    <t>MT 30.03</t>
  </si>
  <si>
    <t>GH82-27489A</t>
  </si>
  <si>
    <t>PRE SUB KD</t>
  </si>
  <si>
    <t>GH82-27489D</t>
  </si>
  <si>
    <t>GH97-27919D</t>
  </si>
  <si>
    <t>GH97-28457D</t>
  </si>
  <si>
    <t>GH85-02622D</t>
  </si>
  <si>
    <t>GH96-14693D</t>
  </si>
  <si>
    <t xml:space="preserve">  ■ KHSX CA NGÀY 27.3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</si>
</sst>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;[Red]0"/>
    <numFmt numFmtId="165" formatCode="_ * #,##0.00_ ;_ * \-#,##0.00_ ;_ * &quot;-&quot;??_ ;_ @_ "/>
  </numFmts>
  <fonts count="1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indexed="8"/>
      <name val="Calibri"/>
      <family val="2"/>
    </font>
    <font>
      <sz val="52"/>
      <color theme="1"/>
      <name val="Times New Roman"/>
      <family val="1"/>
    </font>
    <font>
      <sz val="60"/>
      <color theme="1"/>
      <name val="Times New Roman"/>
      <family val="1"/>
    </font>
    <font>
      <b/>
      <sz val="60"/>
      <color theme="1"/>
      <name val="Times New Roman"/>
      <family val="1"/>
    </font>
    <font>
      <b/>
      <sz val="60"/>
      <name val="Times New Roman"/>
      <family val="1"/>
    </font>
    <font>
      <sz val="52"/>
      <name val="Times New Roman"/>
      <family val="1"/>
    </font>
    <font>
      <b/>
      <sz val="52"/>
      <name val="Times New Roman"/>
      <family val="1"/>
    </font>
    <font>
      <sz val="12"/>
      <color theme="1"/>
      <name val="Times New Roman"/>
      <family val="1"/>
    </font>
    <font>
      <b/>
      <sz val="52"/>
      <color theme="1"/>
      <name val="Times New Roman"/>
      <family val="1"/>
    </font>
    <font>
      <sz val="48"/>
      <color theme="1"/>
      <name val="Times New Roman"/>
      <family val="2"/>
    </font>
    <font>
      <b/>
      <sz val="80"/>
      <color theme="1"/>
      <name val="Cambria"/>
      <family val="1"/>
    </font>
    <font>
      <sz val="11"/>
      <color indexed="8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165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5" fillId="0" borderId="0">
      <alignment vertical="center"/>
    </xf>
  </cellStyleXfs>
  <cellXfs count="57">
    <xf numFmtId="0" fontId="0" fillId="0" borderId="0" xfId="0"/>
    <xf numFmtId="0" fontId="2" fillId="0" borderId="0" xfId="1" applyBorder="1"/>
    <xf numFmtId="0" fontId="2" fillId="2" borderId="0" xfId="1" applyFill="1"/>
    <xf numFmtId="38" fontId="2" fillId="0" borderId="0" xfId="1" applyNumberFormat="1"/>
    <xf numFmtId="164" fontId="2" fillId="0" borderId="0" xfId="1" applyNumberFormat="1"/>
    <xf numFmtId="0" fontId="2" fillId="0" borderId="0" xfId="1"/>
    <xf numFmtId="0" fontId="2" fillId="0" borderId="0" xfId="1" applyAlignment="1">
      <alignment wrapText="1"/>
    </xf>
    <xf numFmtId="0" fontId="2" fillId="0" borderId="0" xfId="1" applyAlignment="1">
      <alignment horizontal="center"/>
    </xf>
    <xf numFmtId="1" fontId="4" fillId="2" borderId="1" xfId="2" applyNumberFormat="1" applyFont="1" applyFill="1" applyBorder="1" applyAlignment="1">
      <alignment horizontal="center" vertical="center"/>
    </xf>
    <xf numFmtId="0" fontId="5" fillId="0" borderId="2" xfId="3" applyFont="1" applyFill="1" applyBorder="1" applyAlignment="1">
      <alignment horizontal="center" vertical="center"/>
    </xf>
    <xf numFmtId="164" fontId="6" fillId="0" borderId="2" xfId="3" applyNumberFormat="1" applyFont="1" applyFill="1" applyBorder="1" applyAlignment="1">
      <alignment horizontal="center" vertical="center"/>
    </xf>
    <xf numFmtId="0" fontId="7" fillId="0" borderId="2" xfId="3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38" fontId="6" fillId="0" borderId="2" xfId="3" applyNumberFormat="1" applyFont="1" applyFill="1" applyBorder="1" applyAlignment="1">
      <alignment horizontal="center" vertical="center"/>
    </xf>
    <xf numFmtId="0" fontId="6" fillId="0" borderId="2" xfId="3" applyFont="1" applyFill="1" applyBorder="1" applyAlignment="1">
      <alignment horizontal="center" vertical="center"/>
    </xf>
    <xf numFmtId="0" fontId="6" fillId="0" borderId="2" xfId="3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5" xfId="4" applyFont="1" applyFill="1" applyBorder="1" applyAlignment="1">
      <alignment horizontal="center" vertical="center" wrapText="1"/>
    </xf>
    <xf numFmtId="0" fontId="12" fillId="0" borderId="0" xfId="1" applyFont="1" applyBorder="1"/>
    <xf numFmtId="0" fontId="11" fillId="0" borderId="2" xfId="4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vertical="center" wrapText="1"/>
    </xf>
    <xf numFmtId="0" fontId="2" fillId="0" borderId="0" xfId="1" applyFill="1" applyAlignment="1">
      <alignment horizontal="center"/>
    </xf>
    <xf numFmtId="0" fontId="2" fillId="0" borderId="0" xfId="1" applyFill="1"/>
    <xf numFmtId="0" fontId="2" fillId="0" borderId="0" xfId="1" applyFill="1" applyAlignment="1">
      <alignment wrapText="1"/>
    </xf>
    <xf numFmtId="164" fontId="2" fillId="0" borderId="0" xfId="1" applyNumberFormat="1" applyFill="1"/>
    <xf numFmtId="38" fontId="2" fillId="0" borderId="0" xfId="1" applyNumberFormat="1" applyFill="1"/>
    <xf numFmtId="0" fontId="11" fillId="0" borderId="2" xfId="1" applyFont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11" fillId="0" borderId="5" xfId="4" applyFont="1" applyFill="1" applyBorder="1" applyAlignment="1">
      <alignment vertical="center"/>
    </xf>
    <xf numFmtId="0" fontId="9" fillId="2" borderId="2" xfId="1" applyFont="1" applyFill="1" applyBorder="1" applyAlignment="1">
      <alignment horizontal="center" vertical="center"/>
    </xf>
    <xf numFmtId="0" fontId="9" fillId="0" borderId="9" xfId="1" applyFont="1" applyFill="1" applyBorder="1" applyAlignment="1">
      <alignment horizontal="center" vertical="center" wrapText="1"/>
    </xf>
    <xf numFmtId="0" fontId="11" fillId="0" borderId="2" xfId="4" applyFont="1" applyFill="1" applyBorder="1" applyAlignment="1">
      <alignment horizontal="center" vertical="center"/>
    </xf>
    <xf numFmtId="0" fontId="11" fillId="0" borderId="4" xfId="4" applyFont="1" applyFill="1" applyBorder="1" applyAlignment="1">
      <alignment vertical="center"/>
    </xf>
    <xf numFmtId="164" fontId="11" fillId="0" borderId="2" xfId="3" applyNumberFormat="1" applyFont="1" applyFill="1" applyBorder="1" applyAlignment="1">
      <alignment horizontal="center" vertical="center"/>
    </xf>
    <xf numFmtId="0" fontId="11" fillId="0" borderId="4" xfId="4" applyFont="1" applyFill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11" fillId="0" borderId="3" xfId="4" applyFont="1" applyFill="1" applyBorder="1" applyAlignment="1">
      <alignment horizontal="center" vertical="center"/>
    </xf>
    <xf numFmtId="0" fontId="11" fillId="0" borderId="5" xfId="4" applyFont="1" applyFill="1" applyBorder="1" applyAlignment="1">
      <alignment horizontal="center" vertical="center"/>
    </xf>
    <xf numFmtId="0" fontId="11" fillId="0" borderId="4" xfId="4" applyFont="1" applyFill="1" applyBorder="1" applyAlignment="1">
      <alignment horizontal="center" vertical="center"/>
    </xf>
    <xf numFmtId="0" fontId="11" fillId="0" borderId="3" xfId="4" applyFont="1" applyFill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11" fillId="0" borderId="8" xfId="4" applyFont="1" applyFill="1" applyBorder="1" applyAlignment="1">
      <alignment horizontal="center" vertical="center"/>
    </xf>
    <xf numFmtId="0" fontId="11" fillId="0" borderId="7" xfId="4" applyFont="1" applyFill="1" applyBorder="1" applyAlignment="1">
      <alignment horizontal="center" vertical="center"/>
    </xf>
    <xf numFmtId="0" fontId="11" fillId="0" borderId="6" xfId="4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</cellXfs>
  <cellStyles count="8">
    <cellStyle name="Comma 2" xfId="2"/>
    <cellStyle name="Comma 3" xfId="5"/>
    <cellStyle name="Comma 3 2" xfId="6"/>
    <cellStyle name="Normal" xfId="0" builtinId="0"/>
    <cellStyle name="Normal 2" xfId="1"/>
    <cellStyle name="Normal 2 2" xfId="4"/>
    <cellStyle name="Normal 3 2" xfId="3"/>
    <cellStyle name="Normal 4" xfId="7"/>
  </cellStyles>
  <dxfs count="18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nh%20s&#225;ch%20nh&#226;n%20vi&#234;n%20to&#224;n%20c&#244;ng%20ty\C&#244;ng%20nh&#226;n%20vi&#234;n%20c&#244;ng%20ty%20m&#7899;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ồ sơ nhân viên"/>
      <sheetName val="Dữ liệu nhập liệu"/>
    </sheetNames>
    <sheetDataSet>
      <sheetData sheetId="0"/>
      <sheetData sheetId="1">
        <row r="3">
          <cell r="A3" t="str">
            <v>Nam</v>
          </cell>
          <cell r="AU3" t="str">
            <v>Chủ nhiệm</v>
          </cell>
        </row>
        <row r="4">
          <cell r="AU4" t="str">
            <v>Chủ tịch</v>
          </cell>
        </row>
        <row r="5">
          <cell r="AU5" t="str">
            <v>Công nhân</v>
          </cell>
        </row>
        <row r="6">
          <cell r="AU6" t="str">
            <v>Đội trưởng</v>
          </cell>
        </row>
        <row r="7">
          <cell r="AU7" t="str">
            <v>Giám Đốc</v>
          </cell>
        </row>
        <row r="8">
          <cell r="AU8" t="str">
            <v>Lái xe</v>
          </cell>
        </row>
        <row r="9">
          <cell r="AU9" t="str">
            <v>Nhân viên</v>
          </cell>
        </row>
        <row r="10">
          <cell r="AU10" t="str">
            <v>Tổ trưởng</v>
          </cell>
        </row>
        <row r="11">
          <cell r="AU11" t="str">
            <v>Tổng Giám Đốc</v>
          </cell>
        </row>
        <row r="12">
          <cell r="AU12" t="str">
            <v>Trưởng Phòng</v>
          </cell>
        </row>
        <row r="13">
          <cell r="AU13" t="str">
            <v>VT001</v>
          </cell>
        </row>
        <row r="14">
          <cell r="AU14" t="str">
            <v>VT014</v>
          </cell>
        </row>
        <row r="15">
          <cell r="AU15" t="str">
            <v>VT016</v>
          </cell>
        </row>
        <row r="16">
          <cell r="AU16" t="str">
            <v>VT020</v>
          </cell>
        </row>
        <row r="17">
          <cell r="AU17" t="str">
            <v>VT022</v>
          </cell>
        </row>
        <row r="18">
          <cell r="AU18" t="str">
            <v>VT023</v>
          </cell>
        </row>
        <row r="19">
          <cell r="AU19" t="str">
            <v>VT024</v>
          </cell>
        </row>
        <row r="20">
          <cell r="AU20" t="str">
            <v>VT025</v>
          </cell>
        </row>
        <row r="21">
          <cell r="AU21" t="str">
            <v>VT026</v>
          </cell>
        </row>
        <row r="22">
          <cell r="AU22" t="str">
            <v>VT027</v>
          </cell>
        </row>
        <row r="23">
          <cell r="AU23" t="str">
            <v>VT028</v>
          </cell>
        </row>
        <row r="24">
          <cell r="AU24" t="str">
            <v>VT029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6"/>
  <sheetViews>
    <sheetView showGridLines="0" view="pageBreakPreview" zoomScale="20" zoomScaleNormal="27" zoomScaleSheetLayoutView="20" workbookViewId="0">
      <selection activeCell="I7" sqref="I7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43.25" customHeight="1" thickBot="1" x14ac:dyDescent="0.3">
      <c r="A3" s="46" t="s">
        <v>41</v>
      </c>
      <c r="B3" s="13" t="s">
        <v>66</v>
      </c>
      <c r="C3" s="12" t="s">
        <v>69</v>
      </c>
      <c r="D3" s="12" t="s">
        <v>24</v>
      </c>
      <c r="E3" s="13" t="s">
        <v>72</v>
      </c>
      <c r="F3" s="22" t="s">
        <v>4</v>
      </c>
      <c r="G3" s="13" t="s">
        <v>37</v>
      </c>
      <c r="H3" s="12" t="s">
        <v>75</v>
      </c>
      <c r="I3" s="11">
        <v>1000</v>
      </c>
      <c r="J3" s="10">
        <v>500</v>
      </c>
      <c r="K3" s="9">
        <v>500</v>
      </c>
      <c r="L3" s="8">
        <f t="shared" ref="L3:L46" si="0">K3+J3-I3</f>
        <v>0</v>
      </c>
    </row>
    <row r="4" spans="1:12" ht="143.25" customHeight="1" thickBot="1" x14ac:dyDescent="0.3">
      <c r="A4" s="47"/>
      <c r="B4" s="13" t="s">
        <v>66</v>
      </c>
      <c r="C4" s="12" t="s">
        <v>69</v>
      </c>
      <c r="D4" s="12" t="s">
        <v>24</v>
      </c>
      <c r="E4" s="13" t="s">
        <v>72</v>
      </c>
      <c r="F4" s="22" t="s">
        <v>4</v>
      </c>
      <c r="G4" s="13" t="s">
        <v>37</v>
      </c>
      <c r="H4" s="12" t="s">
        <v>75</v>
      </c>
      <c r="I4" s="11">
        <v>1000</v>
      </c>
      <c r="J4" s="10"/>
      <c r="K4" s="9">
        <v>1000</v>
      </c>
      <c r="L4" s="8">
        <f t="shared" si="0"/>
        <v>0</v>
      </c>
    </row>
    <row r="5" spans="1:12" ht="143.25" customHeight="1" thickBot="1" x14ac:dyDescent="0.3">
      <c r="A5" s="47"/>
      <c r="B5" s="13" t="s">
        <v>35</v>
      </c>
      <c r="C5" s="12" t="s">
        <v>26</v>
      </c>
      <c r="D5" s="12" t="s">
        <v>24</v>
      </c>
      <c r="E5" s="13" t="s">
        <v>25</v>
      </c>
      <c r="F5" s="22" t="s">
        <v>4</v>
      </c>
      <c r="G5" s="13" t="s">
        <v>0</v>
      </c>
      <c r="H5" s="12" t="s">
        <v>2</v>
      </c>
      <c r="I5" s="11">
        <v>982</v>
      </c>
      <c r="J5" s="10"/>
      <c r="K5" s="9">
        <v>982</v>
      </c>
      <c r="L5" s="8">
        <f t="shared" si="0"/>
        <v>0</v>
      </c>
    </row>
    <row r="6" spans="1:12" ht="143.25" customHeight="1" thickBot="1" x14ac:dyDescent="0.3">
      <c r="A6" s="47"/>
      <c r="B6" s="13" t="s">
        <v>40</v>
      </c>
      <c r="C6" s="12" t="s">
        <v>34</v>
      </c>
      <c r="D6" s="12" t="s">
        <v>24</v>
      </c>
      <c r="E6" s="13" t="s">
        <v>33</v>
      </c>
      <c r="F6" s="22" t="s">
        <v>4</v>
      </c>
      <c r="G6" s="13" t="s">
        <v>0</v>
      </c>
      <c r="H6" s="12" t="s">
        <v>75</v>
      </c>
      <c r="I6" s="35">
        <v>1000</v>
      </c>
      <c r="J6" s="10"/>
      <c r="K6" s="9">
        <v>1000</v>
      </c>
      <c r="L6" s="8">
        <f t="shared" si="0"/>
        <v>0</v>
      </c>
    </row>
    <row r="7" spans="1:12" ht="143.25" customHeight="1" thickBot="1" x14ac:dyDescent="0.3">
      <c r="A7" s="47"/>
      <c r="B7" s="13" t="s">
        <v>40</v>
      </c>
      <c r="C7" s="12" t="s">
        <v>34</v>
      </c>
      <c r="D7" s="12" t="s">
        <v>24</v>
      </c>
      <c r="E7" s="13" t="s">
        <v>33</v>
      </c>
      <c r="F7" s="22" t="s">
        <v>4</v>
      </c>
      <c r="G7" s="13" t="s">
        <v>0</v>
      </c>
      <c r="H7" s="12" t="s">
        <v>74</v>
      </c>
      <c r="I7" s="11">
        <v>769</v>
      </c>
      <c r="J7" s="10"/>
      <c r="K7" s="9">
        <v>769</v>
      </c>
      <c r="L7" s="8">
        <f t="shared" si="0"/>
        <v>0</v>
      </c>
    </row>
    <row r="8" spans="1:12" ht="143.25" customHeight="1" thickBot="1" x14ac:dyDescent="0.3">
      <c r="A8" s="47"/>
      <c r="B8" s="13" t="s">
        <v>40</v>
      </c>
      <c r="C8" s="12" t="s">
        <v>34</v>
      </c>
      <c r="D8" s="12" t="s">
        <v>24</v>
      </c>
      <c r="E8" s="13" t="s">
        <v>33</v>
      </c>
      <c r="F8" s="22" t="s">
        <v>4</v>
      </c>
      <c r="G8" s="13" t="s">
        <v>0</v>
      </c>
      <c r="H8" s="12" t="s">
        <v>75</v>
      </c>
      <c r="I8" s="11">
        <v>1000</v>
      </c>
      <c r="J8" s="10"/>
      <c r="K8" s="9">
        <v>1000</v>
      </c>
      <c r="L8" s="8">
        <f t="shared" si="0"/>
        <v>0</v>
      </c>
    </row>
    <row r="9" spans="1:12" ht="143.25" customHeight="1" thickBot="1" x14ac:dyDescent="0.3">
      <c r="A9" s="47"/>
      <c r="B9" s="13" t="s">
        <v>66</v>
      </c>
      <c r="C9" s="12" t="s">
        <v>62</v>
      </c>
      <c r="D9" s="12" t="s">
        <v>24</v>
      </c>
      <c r="E9" s="13" t="s">
        <v>63</v>
      </c>
      <c r="F9" s="22" t="s">
        <v>4</v>
      </c>
      <c r="G9" s="13" t="s">
        <v>0</v>
      </c>
      <c r="H9" s="12" t="s">
        <v>75</v>
      </c>
      <c r="I9" s="11">
        <v>440</v>
      </c>
      <c r="J9" s="10"/>
      <c r="K9" s="9">
        <v>440</v>
      </c>
      <c r="L9" s="8">
        <f t="shared" si="0"/>
        <v>0</v>
      </c>
    </row>
    <row r="10" spans="1:12" ht="143.25" customHeight="1" thickBot="1" x14ac:dyDescent="0.3">
      <c r="A10" s="47"/>
      <c r="B10" s="13" t="s">
        <v>38</v>
      </c>
      <c r="C10" s="12" t="s">
        <v>27</v>
      </c>
      <c r="D10" s="12" t="s">
        <v>24</v>
      </c>
      <c r="E10" s="13" t="s">
        <v>39</v>
      </c>
      <c r="F10" s="22" t="s">
        <v>4</v>
      </c>
      <c r="G10" s="13" t="s">
        <v>0</v>
      </c>
      <c r="H10" s="12" t="s">
        <v>75</v>
      </c>
      <c r="I10" s="11">
        <v>2000</v>
      </c>
      <c r="J10" s="10"/>
      <c r="K10" s="9">
        <v>2000</v>
      </c>
      <c r="L10" s="8">
        <f t="shared" si="0"/>
        <v>0</v>
      </c>
    </row>
    <row r="11" spans="1:12" ht="143.25" customHeight="1" thickBot="1" x14ac:dyDescent="0.3">
      <c r="A11" s="47"/>
      <c r="B11" s="13" t="s">
        <v>38</v>
      </c>
      <c r="C11" s="12" t="s">
        <v>27</v>
      </c>
      <c r="D11" s="12" t="s">
        <v>24</v>
      </c>
      <c r="E11" s="13" t="s">
        <v>55</v>
      </c>
      <c r="F11" s="22" t="s">
        <v>9</v>
      </c>
      <c r="G11" s="13" t="s">
        <v>0</v>
      </c>
      <c r="H11" s="12" t="s">
        <v>75</v>
      </c>
      <c r="I11" s="11">
        <v>3000</v>
      </c>
      <c r="J11" s="10">
        <v>1000</v>
      </c>
      <c r="K11" s="9">
        <v>2000</v>
      </c>
      <c r="L11" s="8">
        <f t="shared" si="0"/>
        <v>0</v>
      </c>
    </row>
    <row r="12" spans="1:12" ht="143.25" customHeight="1" thickBot="1" x14ac:dyDescent="0.3">
      <c r="A12" s="47"/>
      <c r="B12" s="13" t="s">
        <v>32</v>
      </c>
      <c r="C12" s="12" t="s">
        <v>31</v>
      </c>
      <c r="D12" s="12" t="s">
        <v>24</v>
      </c>
      <c r="E12" s="13" t="s">
        <v>71</v>
      </c>
      <c r="F12" s="22" t="s">
        <v>4</v>
      </c>
      <c r="G12" s="13" t="s">
        <v>8</v>
      </c>
      <c r="H12" s="12" t="s">
        <v>75</v>
      </c>
      <c r="I12" s="11">
        <v>260</v>
      </c>
      <c r="J12" s="10"/>
      <c r="K12" s="9">
        <v>260</v>
      </c>
      <c r="L12" s="8">
        <f t="shared" si="0"/>
        <v>0</v>
      </c>
    </row>
    <row r="13" spans="1:12" ht="143.25" customHeight="1" thickBot="1" x14ac:dyDescent="0.3">
      <c r="A13" s="47"/>
      <c r="B13" s="13" t="s">
        <v>32</v>
      </c>
      <c r="C13" s="12" t="s">
        <v>31</v>
      </c>
      <c r="D13" s="12" t="s">
        <v>24</v>
      </c>
      <c r="E13" s="13" t="s">
        <v>71</v>
      </c>
      <c r="F13" s="22" t="s">
        <v>4</v>
      </c>
      <c r="G13" s="13" t="s">
        <v>0</v>
      </c>
      <c r="H13" s="12" t="s">
        <v>75</v>
      </c>
      <c r="I13" s="11">
        <v>1530</v>
      </c>
      <c r="J13" s="10"/>
      <c r="K13" s="9">
        <v>1530</v>
      </c>
      <c r="L13" s="8">
        <f t="shared" si="0"/>
        <v>0</v>
      </c>
    </row>
    <row r="14" spans="1:12" ht="143.25" customHeight="1" thickBot="1" x14ac:dyDescent="0.3">
      <c r="A14" s="47"/>
      <c r="B14" s="13" t="s">
        <v>32</v>
      </c>
      <c r="C14" s="12" t="s">
        <v>31</v>
      </c>
      <c r="D14" s="12" t="s">
        <v>24</v>
      </c>
      <c r="E14" s="13" t="s">
        <v>78</v>
      </c>
      <c r="F14" s="22" t="s">
        <v>4</v>
      </c>
      <c r="G14" s="13" t="s">
        <v>8</v>
      </c>
      <c r="H14" s="12" t="s">
        <v>74</v>
      </c>
      <c r="I14" s="11">
        <v>20</v>
      </c>
      <c r="J14" s="10"/>
      <c r="K14" s="9">
        <v>20</v>
      </c>
      <c r="L14" s="8">
        <f t="shared" si="0"/>
        <v>0</v>
      </c>
    </row>
    <row r="15" spans="1:12" ht="143.25" customHeight="1" thickBot="1" x14ac:dyDescent="0.3">
      <c r="A15" s="47"/>
      <c r="B15" s="13" t="s">
        <v>32</v>
      </c>
      <c r="C15" s="12" t="s">
        <v>31</v>
      </c>
      <c r="D15" s="12" t="s">
        <v>24</v>
      </c>
      <c r="E15" s="13" t="s">
        <v>71</v>
      </c>
      <c r="F15" s="22" t="s">
        <v>4</v>
      </c>
      <c r="G15" s="13" t="s">
        <v>0</v>
      </c>
      <c r="H15" s="12" t="s">
        <v>75</v>
      </c>
      <c r="I15" s="11">
        <v>1000</v>
      </c>
      <c r="J15" s="10"/>
      <c r="K15" s="9">
        <v>1000</v>
      </c>
      <c r="L15" s="8">
        <f t="shared" si="0"/>
        <v>0</v>
      </c>
    </row>
    <row r="16" spans="1:12" ht="143.25" customHeight="1" thickBot="1" x14ac:dyDescent="0.3">
      <c r="A16" s="47"/>
      <c r="B16" s="13" t="s">
        <v>29</v>
      </c>
      <c r="C16" s="12" t="s">
        <v>73</v>
      </c>
      <c r="D16" s="12" t="s">
        <v>24</v>
      </c>
      <c r="E16" s="13" t="s">
        <v>83</v>
      </c>
      <c r="F16" s="22" t="s">
        <v>4</v>
      </c>
      <c r="G16" s="13" t="s">
        <v>37</v>
      </c>
      <c r="H16" s="12" t="s">
        <v>93</v>
      </c>
      <c r="I16" s="11">
        <v>150</v>
      </c>
      <c r="J16" s="10"/>
      <c r="K16" s="9">
        <v>150</v>
      </c>
      <c r="L16" s="8">
        <f t="shared" si="0"/>
        <v>0</v>
      </c>
    </row>
    <row r="17" spans="1:12" ht="143.25" customHeight="1" thickBot="1" x14ac:dyDescent="0.3">
      <c r="A17" s="47"/>
      <c r="B17" s="13" t="s">
        <v>29</v>
      </c>
      <c r="C17" s="12" t="s">
        <v>73</v>
      </c>
      <c r="D17" s="12" t="s">
        <v>24</v>
      </c>
      <c r="E17" s="13" t="s">
        <v>84</v>
      </c>
      <c r="F17" s="22" t="s">
        <v>4</v>
      </c>
      <c r="G17" s="13" t="s">
        <v>37</v>
      </c>
      <c r="H17" s="12" t="s">
        <v>93</v>
      </c>
      <c r="I17" s="11">
        <v>4</v>
      </c>
      <c r="J17" s="10"/>
      <c r="K17" s="9">
        <v>4</v>
      </c>
      <c r="L17" s="8">
        <f t="shared" si="0"/>
        <v>0</v>
      </c>
    </row>
    <row r="18" spans="1:12" ht="143.25" customHeight="1" thickBot="1" x14ac:dyDescent="0.3">
      <c r="A18" s="47"/>
      <c r="B18" s="13" t="s">
        <v>29</v>
      </c>
      <c r="C18" s="12" t="s">
        <v>85</v>
      </c>
      <c r="D18" s="12" t="s">
        <v>24</v>
      </c>
      <c r="E18" s="13" t="s">
        <v>86</v>
      </c>
      <c r="F18" s="22" t="s">
        <v>4</v>
      </c>
      <c r="G18" s="13" t="s">
        <v>37</v>
      </c>
      <c r="H18" s="12" t="s">
        <v>93</v>
      </c>
      <c r="I18" s="11">
        <v>21</v>
      </c>
      <c r="J18" s="10"/>
      <c r="K18" s="9">
        <v>21</v>
      </c>
      <c r="L18" s="8">
        <f t="shared" si="0"/>
        <v>0</v>
      </c>
    </row>
    <row r="19" spans="1:12" ht="143.25" customHeight="1" thickBot="1" x14ac:dyDescent="0.3">
      <c r="A19" s="47"/>
      <c r="B19" s="13" t="s">
        <v>29</v>
      </c>
      <c r="C19" s="12" t="s">
        <v>85</v>
      </c>
      <c r="D19" s="12" t="s">
        <v>24</v>
      </c>
      <c r="E19" s="13" t="s">
        <v>87</v>
      </c>
      <c r="F19" s="22" t="s">
        <v>4</v>
      </c>
      <c r="G19" s="13" t="s">
        <v>37</v>
      </c>
      <c r="H19" s="12" t="s">
        <v>93</v>
      </c>
      <c r="I19" s="11">
        <v>724</v>
      </c>
      <c r="J19" s="10"/>
      <c r="K19" s="9">
        <v>724</v>
      </c>
      <c r="L19" s="8">
        <f t="shared" si="0"/>
        <v>0</v>
      </c>
    </row>
    <row r="20" spans="1:12" ht="143.25" customHeight="1" thickBot="1" x14ac:dyDescent="0.3">
      <c r="A20" s="47"/>
      <c r="B20" s="13" t="s">
        <v>29</v>
      </c>
      <c r="C20" s="12" t="s">
        <v>85</v>
      </c>
      <c r="D20" s="12" t="s">
        <v>24</v>
      </c>
      <c r="E20" s="13" t="s">
        <v>88</v>
      </c>
      <c r="F20" s="22" t="s">
        <v>4</v>
      </c>
      <c r="G20" s="13" t="s">
        <v>37</v>
      </c>
      <c r="H20" s="12" t="s">
        <v>93</v>
      </c>
      <c r="I20" s="11">
        <v>534</v>
      </c>
      <c r="J20" s="10"/>
      <c r="K20" s="9">
        <v>534</v>
      </c>
      <c r="L20" s="8">
        <f t="shared" si="0"/>
        <v>0</v>
      </c>
    </row>
    <row r="21" spans="1:12" ht="143.25" customHeight="1" thickBot="1" x14ac:dyDescent="0.3">
      <c r="A21" s="47"/>
      <c r="B21" s="13" t="s">
        <v>29</v>
      </c>
      <c r="C21" s="12" t="s">
        <v>85</v>
      </c>
      <c r="D21" s="12" t="s">
        <v>24</v>
      </c>
      <c r="E21" s="13" t="s">
        <v>89</v>
      </c>
      <c r="F21" s="22" t="s">
        <v>4</v>
      </c>
      <c r="G21" s="13" t="s">
        <v>37</v>
      </c>
      <c r="H21" s="12" t="s">
        <v>93</v>
      </c>
      <c r="I21" s="11">
        <v>242</v>
      </c>
      <c r="J21" s="10"/>
      <c r="K21" s="9">
        <v>242</v>
      </c>
      <c r="L21" s="8">
        <f t="shared" si="0"/>
        <v>0</v>
      </c>
    </row>
    <row r="22" spans="1:12" ht="143.25" customHeight="1" thickBot="1" x14ac:dyDescent="0.3">
      <c r="A22" s="47"/>
      <c r="B22" s="13" t="s">
        <v>29</v>
      </c>
      <c r="C22" s="12" t="s">
        <v>85</v>
      </c>
      <c r="D22" s="12" t="s">
        <v>24</v>
      </c>
      <c r="E22" s="13" t="s">
        <v>90</v>
      </c>
      <c r="F22" s="22" t="s">
        <v>4</v>
      </c>
      <c r="G22" s="13" t="s">
        <v>37</v>
      </c>
      <c r="H22" s="12" t="s">
        <v>93</v>
      </c>
      <c r="I22" s="11">
        <v>2</v>
      </c>
      <c r="J22" s="10"/>
      <c r="K22" s="9">
        <v>2</v>
      </c>
      <c r="L22" s="8">
        <f t="shared" si="0"/>
        <v>0</v>
      </c>
    </row>
    <row r="23" spans="1:12" ht="143.25" customHeight="1" thickBot="1" x14ac:dyDescent="0.3">
      <c r="A23" s="47"/>
      <c r="B23" s="13" t="s">
        <v>29</v>
      </c>
      <c r="C23" s="12" t="s">
        <v>85</v>
      </c>
      <c r="D23" s="12" t="s">
        <v>24</v>
      </c>
      <c r="E23" s="13" t="s">
        <v>91</v>
      </c>
      <c r="F23" s="22" t="s">
        <v>4</v>
      </c>
      <c r="G23" s="13" t="s">
        <v>37</v>
      </c>
      <c r="H23" s="12" t="s">
        <v>93</v>
      </c>
      <c r="I23" s="11">
        <v>360</v>
      </c>
      <c r="J23" s="10"/>
      <c r="K23" s="9">
        <v>360</v>
      </c>
      <c r="L23" s="8">
        <f t="shared" si="0"/>
        <v>0</v>
      </c>
    </row>
    <row r="24" spans="1:12" ht="143.25" customHeight="1" thickBot="1" x14ac:dyDescent="0.3">
      <c r="A24" s="48"/>
      <c r="B24" s="13" t="s">
        <v>29</v>
      </c>
      <c r="C24" s="12" t="s">
        <v>85</v>
      </c>
      <c r="D24" s="12" t="s">
        <v>24</v>
      </c>
      <c r="E24" s="13" t="s">
        <v>92</v>
      </c>
      <c r="F24" s="22" t="s">
        <v>4</v>
      </c>
      <c r="G24" s="13" t="s">
        <v>37</v>
      </c>
      <c r="H24" s="12" t="s">
        <v>93</v>
      </c>
      <c r="I24" s="11">
        <v>20</v>
      </c>
      <c r="J24" s="10"/>
      <c r="K24" s="9">
        <v>20</v>
      </c>
      <c r="L24" s="8">
        <f t="shared" si="0"/>
        <v>0</v>
      </c>
    </row>
    <row r="25" spans="1:12" ht="143.25" customHeight="1" thickBot="1" x14ac:dyDescent="0.3">
      <c r="A25" s="46" t="s">
        <v>36</v>
      </c>
      <c r="B25" s="13" t="s">
        <v>66</v>
      </c>
      <c r="C25" s="12" t="s">
        <v>62</v>
      </c>
      <c r="D25" s="12" t="s">
        <v>24</v>
      </c>
      <c r="E25" s="13" t="s">
        <v>63</v>
      </c>
      <c r="F25" s="22" t="s">
        <v>4</v>
      </c>
      <c r="G25" s="13" t="s">
        <v>0</v>
      </c>
      <c r="H25" s="12" t="s">
        <v>75</v>
      </c>
      <c r="I25" s="11">
        <v>1440</v>
      </c>
      <c r="J25" s="10"/>
      <c r="K25" s="9">
        <v>1440</v>
      </c>
      <c r="L25" s="8">
        <f t="shared" si="0"/>
        <v>0</v>
      </c>
    </row>
    <row r="26" spans="1:12" ht="143.25" customHeight="1" thickBot="1" x14ac:dyDescent="0.3">
      <c r="A26" s="47"/>
      <c r="B26" s="13" t="s">
        <v>28</v>
      </c>
      <c r="C26" s="12" t="s">
        <v>34</v>
      </c>
      <c r="D26" s="12" t="s">
        <v>24</v>
      </c>
      <c r="E26" s="13" t="s">
        <v>33</v>
      </c>
      <c r="F26" s="22" t="s">
        <v>4</v>
      </c>
      <c r="G26" s="13" t="s">
        <v>0</v>
      </c>
      <c r="H26" s="12" t="s">
        <v>75</v>
      </c>
      <c r="I26" s="11">
        <v>2000</v>
      </c>
      <c r="J26" s="10"/>
      <c r="K26" s="9">
        <v>2000</v>
      </c>
      <c r="L26" s="8">
        <f t="shared" si="0"/>
        <v>0</v>
      </c>
    </row>
    <row r="27" spans="1:12" ht="143.25" customHeight="1" thickBot="1" x14ac:dyDescent="0.3">
      <c r="A27" s="47"/>
      <c r="B27" s="13" t="s">
        <v>61</v>
      </c>
      <c r="C27" s="12" t="s">
        <v>31</v>
      </c>
      <c r="D27" s="12" t="s">
        <v>24</v>
      </c>
      <c r="E27" s="13" t="s">
        <v>71</v>
      </c>
      <c r="F27" s="22" t="s">
        <v>4</v>
      </c>
      <c r="G27" s="13" t="s">
        <v>8</v>
      </c>
      <c r="H27" s="12" t="s">
        <v>75</v>
      </c>
      <c r="I27" s="11">
        <v>260</v>
      </c>
      <c r="J27" s="10"/>
      <c r="K27" s="9">
        <v>260</v>
      </c>
      <c r="L27" s="8">
        <f t="shared" si="0"/>
        <v>0</v>
      </c>
    </row>
    <row r="28" spans="1:12" ht="143.25" customHeight="1" thickBot="1" x14ac:dyDescent="0.3">
      <c r="A28" s="47"/>
      <c r="B28" s="13" t="s">
        <v>61</v>
      </c>
      <c r="C28" s="12" t="s">
        <v>31</v>
      </c>
      <c r="D28" s="12" t="s">
        <v>24</v>
      </c>
      <c r="E28" s="13" t="s">
        <v>78</v>
      </c>
      <c r="F28" s="22" t="s">
        <v>4</v>
      </c>
      <c r="G28" s="13" t="s">
        <v>8</v>
      </c>
      <c r="H28" s="12" t="s">
        <v>74</v>
      </c>
      <c r="I28" s="11">
        <v>20</v>
      </c>
      <c r="J28" s="10"/>
      <c r="K28" s="9">
        <v>20</v>
      </c>
      <c r="L28" s="8">
        <f t="shared" si="0"/>
        <v>0</v>
      </c>
    </row>
    <row r="29" spans="1:12" ht="143.25" customHeight="1" thickBot="1" x14ac:dyDescent="0.3">
      <c r="A29" s="47"/>
      <c r="B29" s="13" t="s">
        <v>61</v>
      </c>
      <c r="C29" s="12" t="s">
        <v>31</v>
      </c>
      <c r="D29" s="12" t="s">
        <v>24</v>
      </c>
      <c r="E29" s="13" t="s">
        <v>78</v>
      </c>
      <c r="F29" s="22" t="s">
        <v>4</v>
      </c>
      <c r="G29" s="13" t="s">
        <v>0</v>
      </c>
      <c r="H29" s="12" t="s">
        <v>75</v>
      </c>
      <c r="I29" s="11">
        <v>1000</v>
      </c>
      <c r="J29" s="10"/>
      <c r="K29" s="9">
        <v>1000</v>
      </c>
      <c r="L29" s="8">
        <f t="shared" si="0"/>
        <v>0</v>
      </c>
    </row>
    <row r="30" spans="1:12" ht="143.25" customHeight="1" thickBot="1" x14ac:dyDescent="0.3">
      <c r="A30" s="47"/>
      <c r="B30" s="13" t="s">
        <v>61</v>
      </c>
      <c r="C30" s="12" t="s">
        <v>31</v>
      </c>
      <c r="D30" s="12" t="s">
        <v>24</v>
      </c>
      <c r="E30" s="13" t="s">
        <v>71</v>
      </c>
      <c r="F30" s="22" t="s">
        <v>4</v>
      </c>
      <c r="G30" s="13" t="s">
        <v>0</v>
      </c>
      <c r="H30" s="12" t="s">
        <v>75</v>
      </c>
      <c r="I30" s="11">
        <v>1030</v>
      </c>
      <c r="J30" s="10"/>
      <c r="K30" s="9">
        <v>1030</v>
      </c>
      <c r="L30" s="8">
        <f t="shared" si="0"/>
        <v>0</v>
      </c>
    </row>
    <row r="31" spans="1:12" ht="143.25" customHeight="1" thickBot="1" x14ac:dyDescent="0.3">
      <c r="A31" s="47"/>
      <c r="B31" s="13" t="s">
        <v>61</v>
      </c>
      <c r="C31" s="12" t="s">
        <v>31</v>
      </c>
      <c r="D31" s="12" t="s">
        <v>24</v>
      </c>
      <c r="E31" s="13" t="s">
        <v>78</v>
      </c>
      <c r="F31" s="22" t="s">
        <v>4</v>
      </c>
      <c r="G31" s="13" t="s">
        <v>0</v>
      </c>
      <c r="H31" s="12" t="s">
        <v>75</v>
      </c>
      <c r="I31" s="11">
        <v>2000</v>
      </c>
      <c r="J31" s="10"/>
      <c r="K31" s="9">
        <v>2000</v>
      </c>
      <c r="L31" s="8">
        <f t="shared" si="0"/>
        <v>0</v>
      </c>
    </row>
    <row r="32" spans="1:12" ht="143.25" customHeight="1" thickBot="1" x14ac:dyDescent="0.3">
      <c r="A32" s="47"/>
      <c r="B32" s="13" t="s">
        <v>32</v>
      </c>
      <c r="C32" s="12" t="s">
        <v>31</v>
      </c>
      <c r="D32" s="12" t="s">
        <v>24</v>
      </c>
      <c r="E32" s="13" t="s">
        <v>80</v>
      </c>
      <c r="F32" s="22" t="s">
        <v>9</v>
      </c>
      <c r="G32" s="13" t="s">
        <v>0</v>
      </c>
      <c r="H32" s="12" t="s">
        <v>75</v>
      </c>
      <c r="I32" s="11">
        <v>3000</v>
      </c>
      <c r="J32" s="10"/>
      <c r="K32" s="9">
        <v>3000</v>
      </c>
      <c r="L32" s="8">
        <f t="shared" si="0"/>
        <v>0</v>
      </c>
    </row>
    <row r="33" spans="1:12" ht="143.25" customHeight="1" thickBot="1" x14ac:dyDescent="0.3">
      <c r="A33" s="47"/>
      <c r="B33" s="13" t="s">
        <v>32</v>
      </c>
      <c r="C33" s="12" t="s">
        <v>31</v>
      </c>
      <c r="D33" s="12" t="s">
        <v>24</v>
      </c>
      <c r="E33" s="13" t="s">
        <v>71</v>
      </c>
      <c r="F33" s="22" t="s">
        <v>4</v>
      </c>
      <c r="G33" s="13" t="s">
        <v>0</v>
      </c>
      <c r="H33" s="12" t="s">
        <v>75</v>
      </c>
      <c r="I33" s="11">
        <v>2000</v>
      </c>
      <c r="J33" s="10"/>
      <c r="K33" s="9">
        <v>2000</v>
      </c>
      <c r="L33" s="8">
        <f t="shared" si="0"/>
        <v>0</v>
      </c>
    </row>
    <row r="34" spans="1:12" ht="143.25" customHeight="1" thickBot="1" x14ac:dyDescent="0.3">
      <c r="A34" s="47"/>
      <c r="B34" s="13" t="s">
        <v>29</v>
      </c>
      <c r="C34" s="12" t="s">
        <v>6</v>
      </c>
      <c r="D34" s="12" t="s">
        <v>24</v>
      </c>
      <c r="E34" s="13" t="s">
        <v>30</v>
      </c>
      <c r="F34" s="22" t="s">
        <v>4</v>
      </c>
      <c r="G34" s="13" t="s">
        <v>0</v>
      </c>
      <c r="H34" s="12" t="s">
        <v>75</v>
      </c>
      <c r="I34" s="11">
        <v>1070</v>
      </c>
      <c r="J34" s="10">
        <v>500</v>
      </c>
      <c r="K34" s="9">
        <v>570</v>
      </c>
      <c r="L34" s="8">
        <f t="shared" si="0"/>
        <v>0</v>
      </c>
    </row>
    <row r="35" spans="1:12" ht="143.25" customHeight="1" thickBot="1" x14ac:dyDescent="0.3">
      <c r="A35" s="47"/>
      <c r="B35" s="13" t="s">
        <v>40</v>
      </c>
      <c r="C35" s="12" t="s">
        <v>27</v>
      </c>
      <c r="D35" s="12" t="s">
        <v>24</v>
      </c>
      <c r="E35" s="13" t="s">
        <v>39</v>
      </c>
      <c r="F35" s="22" t="s">
        <v>4</v>
      </c>
      <c r="G35" s="13" t="s">
        <v>0</v>
      </c>
      <c r="H35" s="12" t="s">
        <v>75</v>
      </c>
      <c r="I35" s="11">
        <v>2000</v>
      </c>
      <c r="J35" s="10"/>
      <c r="K35" s="9">
        <v>2000</v>
      </c>
      <c r="L35" s="8">
        <f t="shared" si="0"/>
        <v>0</v>
      </c>
    </row>
    <row r="36" spans="1:12" ht="143.25" customHeight="1" thickBot="1" x14ac:dyDescent="0.3">
      <c r="A36" s="47"/>
      <c r="B36" s="13" t="s">
        <v>35</v>
      </c>
      <c r="C36" s="12" t="s">
        <v>26</v>
      </c>
      <c r="D36" s="12" t="s">
        <v>24</v>
      </c>
      <c r="E36" s="13" t="s">
        <v>25</v>
      </c>
      <c r="F36" s="22" t="s">
        <v>4</v>
      </c>
      <c r="G36" s="13" t="s">
        <v>0</v>
      </c>
      <c r="H36" s="12" t="s">
        <v>75</v>
      </c>
      <c r="I36" s="11">
        <v>982</v>
      </c>
      <c r="J36" s="10"/>
      <c r="K36" s="9">
        <v>982</v>
      </c>
      <c r="L36" s="8">
        <f t="shared" si="0"/>
        <v>0</v>
      </c>
    </row>
    <row r="37" spans="1:12" ht="143.25" customHeight="1" thickBot="1" x14ac:dyDescent="0.3">
      <c r="A37" s="47"/>
      <c r="B37" s="13" t="s">
        <v>35</v>
      </c>
      <c r="C37" s="12" t="s">
        <v>26</v>
      </c>
      <c r="D37" s="12" t="s">
        <v>24</v>
      </c>
      <c r="E37" s="13" t="s">
        <v>59</v>
      </c>
      <c r="F37" s="22" t="s">
        <v>4</v>
      </c>
      <c r="G37" s="13" t="s">
        <v>0</v>
      </c>
      <c r="H37" s="12" t="s">
        <v>75</v>
      </c>
      <c r="I37" s="11">
        <v>1540</v>
      </c>
      <c r="J37" s="10"/>
      <c r="K37" s="9">
        <v>1540</v>
      </c>
      <c r="L37" s="8">
        <f t="shared" si="0"/>
        <v>0</v>
      </c>
    </row>
    <row r="38" spans="1:12" ht="143.25" customHeight="1" thickBot="1" x14ac:dyDescent="0.3">
      <c r="A38" s="47"/>
      <c r="B38" s="13" t="s">
        <v>32</v>
      </c>
      <c r="C38" s="12" t="s">
        <v>69</v>
      </c>
      <c r="D38" s="12" t="s">
        <v>24</v>
      </c>
      <c r="E38" s="13" t="s">
        <v>72</v>
      </c>
      <c r="F38" s="22" t="s">
        <v>4</v>
      </c>
      <c r="G38" s="13" t="s">
        <v>37</v>
      </c>
      <c r="H38" s="12" t="s">
        <v>75</v>
      </c>
      <c r="I38" s="11">
        <v>1000</v>
      </c>
      <c r="J38" s="10"/>
      <c r="K38" s="9">
        <v>1000</v>
      </c>
      <c r="L38" s="8">
        <f t="shared" si="0"/>
        <v>0</v>
      </c>
    </row>
    <row r="39" spans="1:12" ht="143.25" customHeight="1" thickBot="1" x14ac:dyDescent="0.3">
      <c r="A39" s="47"/>
      <c r="B39" s="13" t="s">
        <v>38</v>
      </c>
      <c r="C39" s="12" t="s">
        <v>27</v>
      </c>
      <c r="D39" s="12" t="s">
        <v>24</v>
      </c>
      <c r="E39" s="13" t="s">
        <v>76</v>
      </c>
      <c r="F39" s="22" t="s">
        <v>4</v>
      </c>
      <c r="G39" s="13" t="s">
        <v>0</v>
      </c>
      <c r="H39" s="12" t="s">
        <v>75</v>
      </c>
      <c r="I39" s="11">
        <v>1118</v>
      </c>
      <c r="J39" s="10"/>
      <c r="K39" s="9">
        <v>1118</v>
      </c>
      <c r="L39" s="8">
        <f t="shared" si="0"/>
        <v>0</v>
      </c>
    </row>
    <row r="40" spans="1:12" ht="143.25" customHeight="1" thickBot="1" x14ac:dyDescent="0.3">
      <c r="A40" s="48"/>
      <c r="B40" s="13" t="s">
        <v>38</v>
      </c>
      <c r="C40" s="12" t="s">
        <v>27</v>
      </c>
      <c r="D40" s="12" t="s">
        <v>24</v>
      </c>
      <c r="E40" s="13" t="s">
        <v>39</v>
      </c>
      <c r="F40" s="22" t="s">
        <v>4</v>
      </c>
      <c r="G40" s="13" t="s">
        <v>0</v>
      </c>
      <c r="H40" s="12" t="s">
        <v>75</v>
      </c>
      <c r="I40" s="11">
        <v>2516</v>
      </c>
      <c r="J40" s="10">
        <v>1000</v>
      </c>
      <c r="K40" s="9">
        <v>1516</v>
      </c>
      <c r="L40" s="8">
        <f t="shared" si="0"/>
        <v>0</v>
      </c>
    </row>
    <row r="41" spans="1:12" ht="143.25" customHeight="1" thickBot="1" x14ac:dyDescent="0.3">
      <c r="A41" s="21" t="s">
        <v>23</v>
      </c>
      <c r="B41" s="13" t="s">
        <v>12</v>
      </c>
      <c r="C41" s="12" t="s">
        <v>6</v>
      </c>
      <c r="D41" s="12" t="s">
        <v>20</v>
      </c>
      <c r="E41" s="13" t="s">
        <v>22</v>
      </c>
      <c r="F41" s="22" t="s">
        <v>4</v>
      </c>
      <c r="G41" s="13" t="s">
        <v>0</v>
      </c>
      <c r="H41" s="12" t="s">
        <v>75</v>
      </c>
      <c r="I41" s="11">
        <v>4814</v>
      </c>
      <c r="J41" s="10"/>
      <c r="K41" s="9">
        <v>4814</v>
      </c>
      <c r="L41" s="8">
        <f t="shared" si="0"/>
        <v>0</v>
      </c>
    </row>
    <row r="42" spans="1:12" ht="143.25" customHeight="1" thickBot="1" x14ac:dyDescent="0.3">
      <c r="A42" s="21" t="s">
        <v>54</v>
      </c>
      <c r="B42" s="13" t="s">
        <v>67</v>
      </c>
      <c r="C42" s="12" t="s">
        <v>68</v>
      </c>
      <c r="D42" s="12" t="s">
        <v>60</v>
      </c>
      <c r="E42" s="13" t="s">
        <v>94</v>
      </c>
      <c r="F42" s="22" t="s">
        <v>64</v>
      </c>
      <c r="G42" s="13" t="s">
        <v>37</v>
      </c>
      <c r="H42" s="12" t="s">
        <v>75</v>
      </c>
      <c r="I42" s="11">
        <v>24</v>
      </c>
      <c r="J42" s="10"/>
      <c r="K42" s="9">
        <v>24</v>
      </c>
      <c r="L42" s="8">
        <f t="shared" si="0"/>
        <v>0</v>
      </c>
    </row>
    <row r="43" spans="1:12" ht="143.25" customHeight="1" thickBot="1" x14ac:dyDescent="0.3">
      <c r="A43" s="46" t="s">
        <v>19</v>
      </c>
      <c r="B43" s="13" t="s">
        <v>18</v>
      </c>
      <c r="C43" s="12" t="s">
        <v>17</v>
      </c>
      <c r="D43" s="12" t="s">
        <v>14</v>
      </c>
      <c r="E43" s="13" t="s">
        <v>16</v>
      </c>
      <c r="F43" s="22" t="s">
        <v>4</v>
      </c>
      <c r="G43" s="13" t="s">
        <v>0</v>
      </c>
      <c r="H43" s="12" t="s">
        <v>75</v>
      </c>
      <c r="I43" s="11">
        <v>1378</v>
      </c>
      <c r="J43" s="10"/>
      <c r="K43" s="9">
        <v>1378</v>
      </c>
      <c r="L43" s="8">
        <f t="shared" si="0"/>
        <v>0</v>
      </c>
    </row>
    <row r="44" spans="1:12" ht="143.25" customHeight="1" thickBot="1" x14ac:dyDescent="0.3">
      <c r="A44" s="47"/>
      <c r="B44" s="13" t="s">
        <v>7</v>
      </c>
      <c r="C44" s="12" t="s">
        <v>15</v>
      </c>
      <c r="D44" s="12" t="s">
        <v>14</v>
      </c>
      <c r="E44" s="13" t="s">
        <v>65</v>
      </c>
      <c r="F44" s="22" t="s">
        <v>4</v>
      </c>
      <c r="G44" s="13" t="s">
        <v>0</v>
      </c>
      <c r="H44" s="12" t="s">
        <v>75</v>
      </c>
      <c r="I44" s="11">
        <v>1970</v>
      </c>
      <c r="J44" s="10"/>
      <c r="K44" s="9">
        <v>1970</v>
      </c>
      <c r="L44" s="8">
        <f t="shared" si="0"/>
        <v>0</v>
      </c>
    </row>
    <row r="45" spans="1:12" ht="143.25" customHeight="1" thickBot="1" x14ac:dyDescent="0.3">
      <c r="A45" s="47"/>
      <c r="B45" s="13" t="s">
        <v>12</v>
      </c>
      <c r="C45" s="12" t="s">
        <v>3</v>
      </c>
      <c r="D45" s="12" t="s">
        <v>11</v>
      </c>
      <c r="E45" s="13" t="s">
        <v>10</v>
      </c>
      <c r="F45" s="22" t="s">
        <v>4</v>
      </c>
      <c r="G45" s="13" t="s">
        <v>0</v>
      </c>
      <c r="H45" s="12" t="s">
        <v>75</v>
      </c>
      <c r="I45" s="11">
        <v>10000</v>
      </c>
      <c r="J45" s="10"/>
      <c r="K45" s="9">
        <v>10000</v>
      </c>
      <c r="L45" s="8">
        <f t="shared" si="0"/>
        <v>0</v>
      </c>
    </row>
    <row r="46" spans="1:12" ht="143.25" customHeight="1" thickBot="1" x14ac:dyDescent="0.3">
      <c r="A46" s="48"/>
      <c r="B46" s="13" t="s">
        <v>7</v>
      </c>
      <c r="C46" s="12" t="s">
        <v>6</v>
      </c>
      <c r="D46" s="12" t="s">
        <v>1</v>
      </c>
      <c r="E46" s="13" t="s">
        <v>5</v>
      </c>
      <c r="F46" s="22" t="s">
        <v>4</v>
      </c>
      <c r="G46" s="13" t="s">
        <v>0</v>
      </c>
      <c r="H46" s="12" t="s">
        <v>75</v>
      </c>
      <c r="I46" s="11">
        <v>5814</v>
      </c>
      <c r="J46" s="10"/>
      <c r="K46" s="9">
        <v>5814</v>
      </c>
      <c r="L46" s="8">
        <f t="shared" si="0"/>
        <v>0</v>
      </c>
    </row>
  </sheetData>
  <autoFilter ref="A2:L30"/>
  <dataConsolidate/>
  <mergeCells count="4">
    <mergeCell ref="A25:A40"/>
    <mergeCell ref="A43:A46"/>
    <mergeCell ref="A1:L1"/>
    <mergeCell ref="A3:A24"/>
  </mergeCells>
  <conditionalFormatting sqref="I2:I46 K3:L46">
    <cfRule type="cellIs" dxfId="180" priority="3" operator="lessThan">
      <formula>0</formula>
    </cfRule>
  </conditionalFormatting>
  <conditionalFormatting sqref="L2">
    <cfRule type="cellIs" dxfId="179" priority="2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0"/>
  <sheetViews>
    <sheetView showGridLines="0" view="pageBreakPreview" zoomScale="20" zoomScaleNormal="27" zoomScaleSheetLayoutView="20" workbookViewId="0">
      <selection activeCell="I5" sqref="I5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82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43.25" customHeight="1" thickBot="1" x14ac:dyDescent="0.3">
      <c r="A3" s="46" t="s">
        <v>41</v>
      </c>
      <c r="B3" s="13" t="s">
        <v>66</v>
      </c>
      <c r="C3" s="12" t="s">
        <v>69</v>
      </c>
      <c r="D3" s="12" t="s">
        <v>24</v>
      </c>
      <c r="E3" s="13" t="s">
        <v>72</v>
      </c>
      <c r="F3" s="22" t="s">
        <v>4</v>
      </c>
      <c r="G3" s="13" t="s">
        <v>37</v>
      </c>
      <c r="H3" s="12" t="s">
        <v>79</v>
      </c>
      <c r="I3" s="11">
        <v>2000</v>
      </c>
      <c r="J3" s="10"/>
      <c r="K3" s="9">
        <v>2000</v>
      </c>
      <c r="L3" s="8">
        <f t="shared" ref="L3:L30" si="0">K3+J3-I3</f>
        <v>0</v>
      </c>
    </row>
    <row r="4" spans="1:12" ht="143.25" customHeight="1" thickBot="1" x14ac:dyDescent="0.3">
      <c r="A4" s="47"/>
      <c r="B4" s="13" t="s">
        <v>35</v>
      </c>
      <c r="C4" s="12" t="s">
        <v>26</v>
      </c>
      <c r="D4" s="12" t="s">
        <v>24</v>
      </c>
      <c r="E4" s="13" t="s">
        <v>59</v>
      </c>
      <c r="F4" s="22" t="s">
        <v>4</v>
      </c>
      <c r="G4" s="13" t="s">
        <v>0</v>
      </c>
      <c r="H4" s="12" t="s">
        <v>2</v>
      </c>
      <c r="I4" s="11">
        <v>540</v>
      </c>
      <c r="J4" s="10"/>
      <c r="K4" s="9">
        <v>540</v>
      </c>
      <c r="L4" s="8">
        <f t="shared" si="0"/>
        <v>0</v>
      </c>
    </row>
    <row r="5" spans="1:12" ht="143.25" customHeight="1" thickBot="1" x14ac:dyDescent="0.3">
      <c r="A5" s="47"/>
      <c r="B5" s="13" t="s">
        <v>40</v>
      </c>
      <c r="C5" s="12" t="s">
        <v>34</v>
      </c>
      <c r="D5" s="12" t="s">
        <v>24</v>
      </c>
      <c r="E5" s="13" t="s">
        <v>33</v>
      </c>
      <c r="F5" s="22" t="s">
        <v>4</v>
      </c>
      <c r="G5" s="13" t="s">
        <v>0</v>
      </c>
      <c r="H5" s="12" t="s">
        <v>75</v>
      </c>
      <c r="I5" s="35">
        <v>3000</v>
      </c>
      <c r="J5" s="10"/>
      <c r="K5" s="9">
        <v>3000</v>
      </c>
      <c r="L5" s="8">
        <f t="shared" si="0"/>
        <v>0</v>
      </c>
    </row>
    <row r="6" spans="1:12" ht="143.25" customHeight="1" thickBot="1" x14ac:dyDescent="0.3">
      <c r="A6" s="47"/>
      <c r="B6" s="13" t="s">
        <v>32</v>
      </c>
      <c r="C6" s="12" t="s">
        <v>31</v>
      </c>
      <c r="D6" s="12" t="s">
        <v>24</v>
      </c>
      <c r="E6" s="13" t="s">
        <v>71</v>
      </c>
      <c r="F6" s="22" t="s">
        <v>4</v>
      </c>
      <c r="G6" s="13" t="s">
        <v>8</v>
      </c>
      <c r="H6" s="12" t="s">
        <v>75</v>
      </c>
      <c r="I6" s="11">
        <v>1000</v>
      </c>
      <c r="J6" s="10"/>
      <c r="K6" s="9">
        <v>1000</v>
      </c>
      <c r="L6" s="8">
        <f t="shared" si="0"/>
        <v>0</v>
      </c>
    </row>
    <row r="7" spans="1:12" ht="143.25" customHeight="1" thickBot="1" x14ac:dyDescent="0.3">
      <c r="A7" s="47"/>
      <c r="B7" s="13" t="s">
        <v>32</v>
      </c>
      <c r="C7" s="12" t="s">
        <v>31</v>
      </c>
      <c r="D7" s="12" t="s">
        <v>24</v>
      </c>
      <c r="E7" s="13" t="s">
        <v>78</v>
      </c>
      <c r="F7" s="22" t="s">
        <v>4</v>
      </c>
      <c r="G7" s="13" t="s">
        <v>8</v>
      </c>
      <c r="H7" s="12" t="s">
        <v>75</v>
      </c>
      <c r="I7" s="11">
        <v>3000</v>
      </c>
      <c r="J7" s="10"/>
      <c r="K7" s="9">
        <v>3000</v>
      </c>
      <c r="L7" s="8">
        <f t="shared" si="0"/>
        <v>0</v>
      </c>
    </row>
    <row r="8" spans="1:12" ht="143.25" customHeight="1" thickBot="1" x14ac:dyDescent="0.3">
      <c r="A8" s="47"/>
      <c r="B8" s="13" t="s">
        <v>95</v>
      </c>
      <c r="C8" s="12" t="s">
        <v>15</v>
      </c>
      <c r="D8" s="12" t="s">
        <v>24</v>
      </c>
      <c r="E8" s="23" t="s">
        <v>96</v>
      </c>
      <c r="F8" s="22" t="s">
        <v>4</v>
      </c>
      <c r="G8" s="13" t="s">
        <v>0</v>
      </c>
      <c r="H8" s="12" t="s">
        <v>75</v>
      </c>
      <c r="I8" s="11">
        <v>1000</v>
      </c>
      <c r="J8" s="10"/>
      <c r="K8" s="9">
        <v>1000</v>
      </c>
      <c r="L8" s="8">
        <f t="shared" si="0"/>
        <v>0</v>
      </c>
    </row>
    <row r="9" spans="1:12" ht="143.25" customHeight="1" thickBot="1" x14ac:dyDescent="0.3">
      <c r="A9" s="47"/>
      <c r="B9" s="13" t="s">
        <v>38</v>
      </c>
      <c r="C9" s="12" t="s">
        <v>27</v>
      </c>
      <c r="D9" s="12" t="s">
        <v>24</v>
      </c>
      <c r="E9" s="23" t="s">
        <v>76</v>
      </c>
      <c r="F9" s="22" t="s">
        <v>4</v>
      </c>
      <c r="G9" s="13" t="s">
        <v>0</v>
      </c>
      <c r="H9" s="12" t="s">
        <v>75</v>
      </c>
      <c r="I9" s="11">
        <v>1118</v>
      </c>
      <c r="J9" s="10"/>
      <c r="K9" s="9">
        <v>1118</v>
      </c>
      <c r="L9" s="8">
        <f t="shared" si="0"/>
        <v>0</v>
      </c>
    </row>
    <row r="10" spans="1:12" ht="143.25" customHeight="1" thickBot="1" x14ac:dyDescent="0.3">
      <c r="A10" s="47"/>
      <c r="B10" s="13" t="s">
        <v>38</v>
      </c>
      <c r="C10" s="12" t="s">
        <v>27</v>
      </c>
      <c r="D10" s="12" t="s">
        <v>24</v>
      </c>
      <c r="E10" s="23" t="s">
        <v>55</v>
      </c>
      <c r="F10" s="22" t="s">
        <v>9</v>
      </c>
      <c r="G10" s="13" t="s">
        <v>0</v>
      </c>
      <c r="H10" s="12" t="s">
        <v>75</v>
      </c>
      <c r="I10" s="11">
        <v>2000</v>
      </c>
      <c r="J10" s="10"/>
      <c r="K10" s="9">
        <v>2000</v>
      </c>
      <c r="L10" s="8">
        <f t="shared" si="0"/>
        <v>0</v>
      </c>
    </row>
    <row r="11" spans="1:12" ht="143.25" customHeight="1" thickBot="1" x14ac:dyDescent="0.3">
      <c r="A11" s="47"/>
      <c r="B11" s="13" t="s">
        <v>32</v>
      </c>
      <c r="C11" s="12" t="s">
        <v>31</v>
      </c>
      <c r="D11" s="12" t="s">
        <v>24</v>
      </c>
      <c r="E11" s="23" t="s">
        <v>78</v>
      </c>
      <c r="F11" s="22" t="s">
        <v>4</v>
      </c>
      <c r="G11" s="13" t="s">
        <v>0</v>
      </c>
      <c r="H11" s="12" t="s">
        <v>75</v>
      </c>
      <c r="I11" s="11">
        <v>2000</v>
      </c>
      <c r="J11" s="10"/>
      <c r="K11" s="9">
        <v>2000</v>
      </c>
      <c r="L11" s="8">
        <f t="shared" si="0"/>
        <v>0</v>
      </c>
    </row>
    <row r="12" spans="1:12" ht="143.25" customHeight="1" thickBot="1" x14ac:dyDescent="0.3">
      <c r="A12" s="48"/>
      <c r="B12" s="13" t="s">
        <v>32</v>
      </c>
      <c r="C12" s="12" t="s">
        <v>31</v>
      </c>
      <c r="D12" s="12" t="s">
        <v>24</v>
      </c>
      <c r="E12" s="13" t="s">
        <v>70</v>
      </c>
      <c r="F12" s="22" t="s">
        <v>4</v>
      </c>
      <c r="G12" s="13" t="s">
        <v>0</v>
      </c>
      <c r="H12" s="12" t="s">
        <v>75</v>
      </c>
      <c r="I12" s="11">
        <v>1440</v>
      </c>
      <c r="J12" s="10">
        <v>500</v>
      </c>
      <c r="K12" s="9">
        <v>940</v>
      </c>
      <c r="L12" s="8">
        <f t="shared" si="0"/>
        <v>0</v>
      </c>
    </row>
    <row r="13" spans="1:12" ht="143.25" customHeight="1" thickBot="1" x14ac:dyDescent="0.3">
      <c r="A13" s="46" t="s">
        <v>36</v>
      </c>
      <c r="B13" s="13" t="s">
        <v>28</v>
      </c>
      <c r="C13" s="12" t="s">
        <v>34</v>
      </c>
      <c r="D13" s="12" t="s">
        <v>24</v>
      </c>
      <c r="E13" s="13" t="s">
        <v>33</v>
      </c>
      <c r="F13" s="22" t="s">
        <v>4</v>
      </c>
      <c r="G13" s="13" t="s">
        <v>0</v>
      </c>
      <c r="H13" s="12" t="s">
        <v>75</v>
      </c>
      <c r="I13" s="11">
        <v>3000</v>
      </c>
      <c r="J13" s="10"/>
      <c r="K13" s="9">
        <v>3000</v>
      </c>
      <c r="L13" s="8">
        <f t="shared" si="0"/>
        <v>0</v>
      </c>
    </row>
    <row r="14" spans="1:12" ht="143.25" customHeight="1" thickBot="1" x14ac:dyDescent="0.3">
      <c r="A14" s="47"/>
      <c r="B14" s="13" t="s">
        <v>32</v>
      </c>
      <c r="C14" s="12" t="s">
        <v>31</v>
      </c>
      <c r="D14" s="12" t="s">
        <v>24</v>
      </c>
      <c r="E14" s="23" t="s">
        <v>97</v>
      </c>
      <c r="F14" s="22" t="s">
        <v>4</v>
      </c>
      <c r="G14" s="13" t="s">
        <v>8</v>
      </c>
      <c r="H14" s="12" t="s">
        <v>75</v>
      </c>
      <c r="I14" s="11">
        <v>50</v>
      </c>
      <c r="J14" s="10"/>
      <c r="K14" s="9">
        <v>50</v>
      </c>
      <c r="L14" s="8">
        <f t="shared" si="0"/>
        <v>0</v>
      </c>
    </row>
    <row r="15" spans="1:12" ht="143.25" customHeight="1" thickBot="1" x14ac:dyDescent="0.3">
      <c r="A15" s="47"/>
      <c r="B15" s="13" t="s">
        <v>32</v>
      </c>
      <c r="C15" s="12" t="s">
        <v>31</v>
      </c>
      <c r="D15" s="12" t="s">
        <v>24</v>
      </c>
      <c r="E15" s="23" t="s">
        <v>78</v>
      </c>
      <c r="F15" s="22" t="s">
        <v>4</v>
      </c>
      <c r="G15" s="13" t="s">
        <v>8</v>
      </c>
      <c r="H15" s="12" t="s">
        <v>75</v>
      </c>
      <c r="I15" s="11">
        <v>100</v>
      </c>
      <c r="J15" s="10"/>
      <c r="K15" s="9">
        <v>100</v>
      </c>
      <c r="L15" s="8">
        <f t="shared" si="0"/>
        <v>0</v>
      </c>
    </row>
    <row r="16" spans="1:12" ht="143.25" customHeight="1" thickBot="1" x14ac:dyDescent="0.3">
      <c r="A16" s="47"/>
      <c r="B16" s="13" t="s">
        <v>40</v>
      </c>
      <c r="C16" s="12" t="s">
        <v>15</v>
      </c>
      <c r="D16" s="12" t="s">
        <v>24</v>
      </c>
      <c r="E16" s="23" t="s">
        <v>96</v>
      </c>
      <c r="F16" s="22" t="s">
        <v>4</v>
      </c>
      <c r="G16" s="13" t="s">
        <v>0</v>
      </c>
      <c r="H16" s="12" t="s">
        <v>75</v>
      </c>
      <c r="I16" s="11">
        <v>1066</v>
      </c>
      <c r="J16" s="10"/>
      <c r="K16" s="9">
        <v>1066</v>
      </c>
      <c r="L16" s="8">
        <f t="shared" si="0"/>
        <v>0</v>
      </c>
    </row>
    <row r="17" spans="1:12" ht="143.25" customHeight="1" thickBot="1" x14ac:dyDescent="0.3">
      <c r="A17" s="47"/>
      <c r="B17" s="13" t="s">
        <v>77</v>
      </c>
      <c r="C17" s="12" t="s">
        <v>27</v>
      </c>
      <c r="D17" s="12" t="s">
        <v>24</v>
      </c>
      <c r="E17" s="23" t="s">
        <v>76</v>
      </c>
      <c r="F17" s="22" t="s">
        <v>4</v>
      </c>
      <c r="G17" s="13" t="s">
        <v>0</v>
      </c>
      <c r="H17" s="12" t="s">
        <v>75</v>
      </c>
      <c r="I17" s="11">
        <v>2000</v>
      </c>
      <c r="J17" s="10"/>
      <c r="K17" s="9">
        <v>2000</v>
      </c>
      <c r="L17" s="8">
        <f t="shared" si="0"/>
        <v>0</v>
      </c>
    </row>
    <row r="18" spans="1:12" ht="143.25" customHeight="1" thickBot="1" x14ac:dyDescent="0.3">
      <c r="A18" s="47"/>
      <c r="B18" s="13" t="s">
        <v>61</v>
      </c>
      <c r="C18" s="12" t="s">
        <v>31</v>
      </c>
      <c r="D18" s="12" t="s">
        <v>24</v>
      </c>
      <c r="E18" s="13" t="s">
        <v>78</v>
      </c>
      <c r="F18" s="22" t="s">
        <v>4</v>
      </c>
      <c r="G18" s="13" t="s">
        <v>0</v>
      </c>
      <c r="H18" s="12" t="s">
        <v>75</v>
      </c>
      <c r="I18" s="11">
        <v>2000</v>
      </c>
      <c r="J18" s="10"/>
      <c r="K18" s="9">
        <v>2000</v>
      </c>
      <c r="L18" s="8">
        <f t="shared" si="0"/>
        <v>0</v>
      </c>
    </row>
    <row r="19" spans="1:12" ht="143.25" customHeight="1" thickBot="1" x14ac:dyDescent="0.3">
      <c r="A19" s="47"/>
      <c r="B19" s="13" t="s">
        <v>32</v>
      </c>
      <c r="C19" s="12" t="s">
        <v>31</v>
      </c>
      <c r="D19" s="12" t="s">
        <v>24</v>
      </c>
      <c r="E19" s="13" t="s">
        <v>78</v>
      </c>
      <c r="F19" s="22" t="s">
        <v>4</v>
      </c>
      <c r="G19" s="13" t="s">
        <v>0</v>
      </c>
      <c r="H19" s="12" t="s">
        <v>75</v>
      </c>
      <c r="I19" s="11">
        <v>2000</v>
      </c>
      <c r="J19" s="10"/>
      <c r="K19" s="9">
        <v>2000</v>
      </c>
      <c r="L19" s="8">
        <f t="shared" si="0"/>
        <v>0</v>
      </c>
    </row>
    <row r="20" spans="1:12" ht="143.25" customHeight="1" thickBot="1" x14ac:dyDescent="0.3">
      <c r="A20" s="47"/>
      <c r="B20" s="13" t="s">
        <v>35</v>
      </c>
      <c r="C20" s="12" t="s">
        <v>26</v>
      </c>
      <c r="D20" s="12" t="s">
        <v>24</v>
      </c>
      <c r="E20" s="13" t="s">
        <v>59</v>
      </c>
      <c r="F20" s="22" t="s">
        <v>4</v>
      </c>
      <c r="G20" s="13" t="s">
        <v>0</v>
      </c>
      <c r="H20" s="12" t="s">
        <v>75</v>
      </c>
      <c r="I20" s="11">
        <v>1000</v>
      </c>
      <c r="J20" s="10"/>
      <c r="K20" s="9">
        <v>1000</v>
      </c>
      <c r="L20" s="8">
        <f t="shared" si="0"/>
        <v>0</v>
      </c>
    </row>
    <row r="21" spans="1:12" ht="143.25" customHeight="1" thickBot="1" x14ac:dyDescent="0.3">
      <c r="A21" s="47"/>
      <c r="B21" s="13" t="s">
        <v>38</v>
      </c>
      <c r="C21" s="12" t="s">
        <v>27</v>
      </c>
      <c r="D21" s="12" t="s">
        <v>24</v>
      </c>
      <c r="E21" s="13" t="s">
        <v>76</v>
      </c>
      <c r="F21" s="22" t="s">
        <v>4</v>
      </c>
      <c r="G21" s="13" t="s">
        <v>0</v>
      </c>
      <c r="H21" s="12" t="s">
        <v>75</v>
      </c>
      <c r="I21" s="11">
        <v>2000</v>
      </c>
      <c r="J21" s="10"/>
      <c r="K21" s="9">
        <v>2000</v>
      </c>
      <c r="L21" s="8">
        <f t="shared" si="0"/>
        <v>0</v>
      </c>
    </row>
    <row r="22" spans="1:12" ht="143.25" customHeight="1" thickBot="1" x14ac:dyDescent="0.3">
      <c r="A22" s="48"/>
      <c r="B22" s="13" t="s">
        <v>77</v>
      </c>
      <c r="C22" s="12" t="s">
        <v>27</v>
      </c>
      <c r="D22" s="12" t="s">
        <v>24</v>
      </c>
      <c r="E22" s="13" t="s">
        <v>76</v>
      </c>
      <c r="F22" s="22" t="s">
        <v>4</v>
      </c>
      <c r="G22" s="13" t="s">
        <v>0</v>
      </c>
      <c r="H22" s="12" t="s">
        <v>75</v>
      </c>
      <c r="I22" s="11">
        <v>2000</v>
      </c>
      <c r="J22" s="10"/>
      <c r="K22" s="9">
        <v>2000</v>
      </c>
      <c r="L22" s="8">
        <f t="shared" si="0"/>
        <v>0</v>
      </c>
    </row>
    <row r="23" spans="1:12" ht="143.25" customHeight="1" thickBot="1" x14ac:dyDescent="0.3">
      <c r="A23" s="46" t="s">
        <v>23</v>
      </c>
      <c r="B23" s="13" t="s">
        <v>21</v>
      </c>
      <c r="C23" s="12" t="s">
        <v>3</v>
      </c>
      <c r="D23" s="12" t="s">
        <v>20</v>
      </c>
      <c r="E23" s="13" t="s">
        <v>56</v>
      </c>
      <c r="F23" s="22" t="s">
        <v>9</v>
      </c>
      <c r="G23" s="13" t="s">
        <v>0</v>
      </c>
      <c r="H23" s="12" t="s">
        <v>75</v>
      </c>
      <c r="I23" s="11">
        <v>6000</v>
      </c>
      <c r="J23" s="10"/>
      <c r="K23" s="9">
        <v>6000</v>
      </c>
      <c r="L23" s="8">
        <f t="shared" si="0"/>
        <v>0</v>
      </c>
    </row>
    <row r="24" spans="1:12" ht="143.25" customHeight="1" thickBot="1" x14ac:dyDescent="0.3">
      <c r="A24" s="47"/>
      <c r="B24" s="13" t="s">
        <v>21</v>
      </c>
      <c r="C24" s="12" t="s">
        <v>3</v>
      </c>
      <c r="D24" s="12" t="s">
        <v>20</v>
      </c>
      <c r="E24" s="13" t="s">
        <v>57</v>
      </c>
      <c r="F24" s="22" t="s">
        <v>9</v>
      </c>
      <c r="G24" s="13" t="s">
        <v>0</v>
      </c>
      <c r="H24" s="12" t="s">
        <v>75</v>
      </c>
      <c r="I24" s="11">
        <v>6000</v>
      </c>
      <c r="J24" s="10"/>
      <c r="K24" s="9">
        <v>6000</v>
      </c>
      <c r="L24" s="8">
        <f t="shared" si="0"/>
        <v>0</v>
      </c>
    </row>
    <row r="25" spans="1:12" ht="143.25" customHeight="1" thickBot="1" x14ac:dyDescent="0.3">
      <c r="A25" s="48"/>
      <c r="B25" s="13" t="s">
        <v>21</v>
      </c>
      <c r="C25" s="12" t="s">
        <v>3</v>
      </c>
      <c r="D25" s="12" t="s">
        <v>20</v>
      </c>
      <c r="E25" s="13" t="s">
        <v>56</v>
      </c>
      <c r="F25" s="22" t="s">
        <v>4</v>
      </c>
      <c r="G25" s="13" t="s">
        <v>0</v>
      </c>
      <c r="H25" s="12" t="s">
        <v>75</v>
      </c>
      <c r="I25" s="11">
        <v>562</v>
      </c>
      <c r="J25" s="10"/>
      <c r="K25" s="9">
        <v>562</v>
      </c>
      <c r="L25" s="8">
        <f t="shared" si="0"/>
        <v>0</v>
      </c>
    </row>
    <row r="26" spans="1:12" ht="143.25" customHeight="1" thickBot="1" x14ac:dyDescent="0.3">
      <c r="A26" s="46" t="s">
        <v>19</v>
      </c>
      <c r="B26" s="13" t="s">
        <v>7</v>
      </c>
      <c r="C26" s="12" t="s">
        <v>15</v>
      </c>
      <c r="D26" s="12" t="s">
        <v>14</v>
      </c>
      <c r="E26" s="13" t="s">
        <v>65</v>
      </c>
      <c r="F26" s="22" t="s">
        <v>4</v>
      </c>
      <c r="G26" s="13" t="s">
        <v>0</v>
      </c>
      <c r="H26" s="12" t="s">
        <v>75</v>
      </c>
      <c r="I26" s="11">
        <v>1000</v>
      </c>
      <c r="J26" s="10"/>
      <c r="K26" s="9">
        <v>1000</v>
      </c>
      <c r="L26" s="8">
        <f t="shared" si="0"/>
        <v>0</v>
      </c>
    </row>
    <row r="27" spans="1:12" ht="143.25" customHeight="1" thickBot="1" x14ac:dyDescent="0.3">
      <c r="A27" s="47"/>
      <c r="B27" s="13" t="s">
        <v>7</v>
      </c>
      <c r="C27" s="12" t="s">
        <v>15</v>
      </c>
      <c r="D27" s="12" t="s">
        <v>14</v>
      </c>
      <c r="E27" s="13" t="s">
        <v>58</v>
      </c>
      <c r="F27" s="22" t="s">
        <v>4</v>
      </c>
      <c r="G27" s="13" t="s">
        <v>0</v>
      </c>
      <c r="H27" s="12" t="s">
        <v>75</v>
      </c>
      <c r="I27" s="11">
        <v>909</v>
      </c>
      <c r="J27" s="10"/>
      <c r="K27" s="9">
        <v>909</v>
      </c>
      <c r="L27" s="8">
        <f t="shared" si="0"/>
        <v>0</v>
      </c>
    </row>
    <row r="28" spans="1:12" ht="143.25" customHeight="1" thickBot="1" x14ac:dyDescent="0.3">
      <c r="A28" s="47"/>
      <c r="B28" s="13" t="s">
        <v>7</v>
      </c>
      <c r="C28" s="12" t="s">
        <v>15</v>
      </c>
      <c r="D28" s="12" t="s">
        <v>14</v>
      </c>
      <c r="E28" s="13" t="s">
        <v>13</v>
      </c>
      <c r="F28" s="22" t="s">
        <v>4</v>
      </c>
      <c r="G28" s="13" t="s">
        <v>0</v>
      </c>
      <c r="H28" s="12" t="s">
        <v>75</v>
      </c>
      <c r="I28" s="11">
        <v>1000</v>
      </c>
      <c r="J28" s="10">
        <v>500</v>
      </c>
      <c r="K28" s="9">
        <v>500</v>
      </c>
      <c r="L28" s="8">
        <f t="shared" si="0"/>
        <v>0</v>
      </c>
    </row>
    <row r="29" spans="1:12" ht="143.25" customHeight="1" thickBot="1" x14ac:dyDescent="0.3">
      <c r="A29" s="47"/>
      <c r="B29" s="13" t="s">
        <v>12</v>
      </c>
      <c r="C29" s="12" t="s">
        <v>3</v>
      </c>
      <c r="D29" s="12" t="s">
        <v>11</v>
      </c>
      <c r="E29" s="13" t="s">
        <v>10</v>
      </c>
      <c r="F29" s="22" t="s">
        <v>4</v>
      </c>
      <c r="G29" s="13" t="s">
        <v>0</v>
      </c>
      <c r="H29" s="12" t="s">
        <v>75</v>
      </c>
      <c r="I29" s="11">
        <v>10000</v>
      </c>
      <c r="J29" s="10"/>
      <c r="K29" s="9">
        <v>10000</v>
      </c>
      <c r="L29" s="8">
        <f t="shared" si="0"/>
        <v>0</v>
      </c>
    </row>
    <row r="30" spans="1:12" ht="143.25" customHeight="1" thickBot="1" x14ac:dyDescent="0.3">
      <c r="A30" s="48"/>
      <c r="B30" s="13" t="s">
        <v>7</v>
      </c>
      <c r="C30" s="12" t="s">
        <v>6</v>
      </c>
      <c r="D30" s="12" t="s">
        <v>1</v>
      </c>
      <c r="E30" s="13" t="s">
        <v>5</v>
      </c>
      <c r="F30" s="22" t="s">
        <v>4</v>
      </c>
      <c r="G30" s="13" t="s">
        <v>0</v>
      </c>
      <c r="H30" s="12" t="s">
        <v>75</v>
      </c>
      <c r="I30" s="11">
        <v>4000</v>
      </c>
      <c r="J30" s="10"/>
      <c r="K30" s="9">
        <v>4000</v>
      </c>
      <c r="L30" s="8">
        <f t="shared" si="0"/>
        <v>0</v>
      </c>
    </row>
  </sheetData>
  <autoFilter ref="A2:L30"/>
  <dataConsolidate/>
  <mergeCells count="5">
    <mergeCell ref="A1:L1"/>
    <mergeCell ref="A3:A12"/>
    <mergeCell ref="A13:A22"/>
    <mergeCell ref="A23:A25"/>
    <mergeCell ref="A26:A30"/>
  </mergeCells>
  <conditionalFormatting sqref="I2:I30 K3:L30">
    <cfRule type="cellIs" dxfId="178" priority="2" operator="lessThan">
      <formula>0</formula>
    </cfRule>
  </conditionalFormatting>
  <conditionalFormatting sqref="L2">
    <cfRule type="cellIs" dxfId="177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1"/>
  <sheetViews>
    <sheetView showGridLines="0" view="pageBreakPreview" zoomScale="20" zoomScaleNormal="27" zoomScaleSheetLayoutView="20" workbookViewId="0">
      <selection activeCell="I4" sqref="I4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98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92" customHeight="1" thickBot="1" x14ac:dyDescent="0.3">
      <c r="A3" s="46" t="s">
        <v>41</v>
      </c>
      <c r="B3" s="13" t="s">
        <v>40</v>
      </c>
      <c r="C3" s="12" t="s">
        <v>125</v>
      </c>
      <c r="D3" s="12" t="s">
        <v>126</v>
      </c>
      <c r="E3" s="13" t="s">
        <v>127</v>
      </c>
      <c r="F3" s="22" t="s">
        <v>122</v>
      </c>
      <c r="G3" s="13" t="s">
        <v>0</v>
      </c>
      <c r="H3" s="12" t="s">
        <v>75</v>
      </c>
      <c r="I3" s="11">
        <v>200</v>
      </c>
      <c r="J3" s="10"/>
      <c r="K3" s="9">
        <v>200</v>
      </c>
      <c r="L3" s="8">
        <f t="shared" ref="L3:L31" si="0">K3+J3-I3</f>
        <v>0</v>
      </c>
    </row>
    <row r="4" spans="1:12" ht="192" customHeight="1" thickBot="1" x14ac:dyDescent="0.3">
      <c r="A4" s="47"/>
      <c r="B4" s="13" t="s">
        <v>28</v>
      </c>
      <c r="C4" s="12" t="s">
        <v>34</v>
      </c>
      <c r="D4" s="12" t="s">
        <v>24</v>
      </c>
      <c r="E4" s="13" t="s">
        <v>33</v>
      </c>
      <c r="F4" s="22" t="s">
        <v>4</v>
      </c>
      <c r="G4" s="13" t="s">
        <v>0</v>
      </c>
      <c r="H4" s="12" t="s">
        <v>75</v>
      </c>
      <c r="I4" s="35">
        <v>768</v>
      </c>
      <c r="J4" s="10"/>
      <c r="K4" s="9">
        <v>768</v>
      </c>
      <c r="L4" s="8">
        <f t="shared" si="0"/>
        <v>0</v>
      </c>
    </row>
    <row r="5" spans="1:12" ht="192" customHeight="1" thickBot="1" x14ac:dyDescent="0.3">
      <c r="A5" s="47"/>
      <c r="B5" s="13" t="s">
        <v>66</v>
      </c>
      <c r="C5" s="12" t="s">
        <v>62</v>
      </c>
      <c r="D5" s="12" t="s">
        <v>24</v>
      </c>
      <c r="E5" s="13" t="s">
        <v>117</v>
      </c>
      <c r="F5" s="22" t="s">
        <v>4</v>
      </c>
      <c r="G5" s="13" t="s">
        <v>0</v>
      </c>
      <c r="H5" s="12" t="s">
        <v>79</v>
      </c>
      <c r="I5" s="11">
        <v>500</v>
      </c>
      <c r="J5" s="10"/>
      <c r="K5" s="9">
        <v>500</v>
      </c>
      <c r="L5" s="8">
        <f t="shared" si="0"/>
        <v>0</v>
      </c>
    </row>
    <row r="6" spans="1:12" ht="192" customHeight="1" thickBot="1" x14ac:dyDescent="0.3">
      <c r="A6" s="47"/>
      <c r="B6" s="13" t="s">
        <v>95</v>
      </c>
      <c r="C6" s="12" t="s">
        <v>15</v>
      </c>
      <c r="D6" s="12" t="s">
        <v>24</v>
      </c>
      <c r="E6" s="13" t="s">
        <v>96</v>
      </c>
      <c r="F6" s="22" t="s">
        <v>4</v>
      </c>
      <c r="G6" s="13" t="s">
        <v>0</v>
      </c>
      <c r="H6" s="12" t="s">
        <v>75</v>
      </c>
      <c r="I6" s="11">
        <v>1066</v>
      </c>
      <c r="J6" s="10">
        <v>500</v>
      </c>
      <c r="K6" s="9">
        <v>566</v>
      </c>
      <c r="L6" s="8">
        <f t="shared" si="0"/>
        <v>0</v>
      </c>
    </row>
    <row r="7" spans="1:12" ht="192" customHeight="1" thickBot="1" x14ac:dyDescent="0.3">
      <c r="A7" s="47"/>
      <c r="B7" s="13" t="s">
        <v>95</v>
      </c>
      <c r="C7" s="12" t="s">
        <v>15</v>
      </c>
      <c r="D7" s="12" t="s">
        <v>24</v>
      </c>
      <c r="E7" s="13" t="s">
        <v>96</v>
      </c>
      <c r="F7" s="22" t="s">
        <v>4</v>
      </c>
      <c r="G7" s="13" t="s">
        <v>0</v>
      </c>
      <c r="H7" s="12" t="s">
        <v>79</v>
      </c>
      <c r="I7" s="11">
        <v>1500</v>
      </c>
      <c r="J7" s="10"/>
      <c r="K7" s="9">
        <v>1500</v>
      </c>
      <c r="L7" s="8">
        <f t="shared" si="0"/>
        <v>0</v>
      </c>
    </row>
    <row r="8" spans="1:12" ht="192" customHeight="1" thickBot="1" x14ac:dyDescent="0.3">
      <c r="A8" s="47"/>
      <c r="B8" s="13" t="s">
        <v>38</v>
      </c>
      <c r="C8" s="12" t="s">
        <v>27</v>
      </c>
      <c r="D8" s="12" t="s">
        <v>24</v>
      </c>
      <c r="E8" s="13" t="s">
        <v>76</v>
      </c>
      <c r="F8" s="22" t="s">
        <v>4</v>
      </c>
      <c r="G8" s="13" t="s">
        <v>8</v>
      </c>
      <c r="H8" s="12" t="s">
        <v>75</v>
      </c>
      <c r="I8" s="11">
        <v>20</v>
      </c>
      <c r="J8" s="10"/>
      <c r="K8" s="9">
        <v>20</v>
      </c>
      <c r="L8" s="8">
        <f t="shared" si="0"/>
        <v>0</v>
      </c>
    </row>
    <row r="9" spans="1:12" ht="192" customHeight="1" thickBot="1" x14ac:dyDescent="0.3">
      <c r="A9" s="47"/>
      <c r="B9" s="13" t="s">
        <v>38</v>
      </c>
      <c r="C9" s="12" t="s">
        <v>27</v>
      </c>
      <c r="D9" s="12" t="s">
        <v>24</v>
      </c>
      <c r="E9" s="13" t="s">
        <v>39</v>
      </c>
      <c r="F9" s="22" t="s">
        <v>4</v>
      </c>
      <c r="G9" s="13" t="s">
        <v>0</v>
      </c>
      <c r="H9" s="12" t="s">
        <v>75</v>
      </c>
      <c r="I9" s="11">
        <v>2516</v>
      </c>
      <c r="J9" s="10">
        <v>1200</v>
      </c>
      <c r="K9" s="9">
        <v>1316</v>
      </c>
      <c r="L9" s="8">
        <f t="shared" si="0"/>
        <v>0</v>
      </c>
    </row>
    <row r="10" spans="1:12" ht="192" customHeight="1" thickBot="1" x14ac:dyDescent="0.3">
      <c r="A10" s="47"/>
      <c r="B10" s="13" t="s">
        <v>38</v>
      </c>
      <c r="C10" s="12" t="s">
        <v>27</v>
      </c>
      <c r="D10" s="12" t="s">
        <v>24</v>
      </c>
      <c r="E10" s="13" t="s">
        <v>111</v>
      </c>
      <c r="F10" s="22" t="s">
        <v>4</v>
      </c>
      <c r="G10" s="13" t="s">
        <v>0</v>
      </c>
      <c r="H10" s="12" t="s">
        <v>79</v>
      </c>
      <c r="I10" s="11">
        <v>2500</v>
      </c>
      <c r="J10" s="10"/>
      <c r="K10" s="9">
        <v>2500</v>
      </c>
      <c r="L10" s="8">
        <f t="shared" si="0"/>
        <v>0</v>
      </c>
    </row>
    <row r="11" spans="1:12" ht="192" customHeight="1" thickBot="1" x14ac:dyDescent="0.3">
      <c r="A11" s="47"/>
      <c r="B11" s="13" t="s">
        <v>32</v>
      </c>
      <c r="C11" s="12" t="s">
        <v>31</v>
      </c>
      <c r="D11" s="12" t="s">
        <v>24</v>
      </c>
      <c r="E11" s="13" t="s">
        <v>97</v>
      </c>
      <c r="F11" s="22" t="s">
        <v>4</v>
      </c>
      <c r="G11" s="13" t="s">
        <v>8</v>
      </c>
      <c r="H11" s="12" t="s">
        <v>75</v>
      </c>
      <c r="I11" s="11">
        <v>50</v>
      </c>
      <c r="J11" s="10"/>
      <c r="K11" s="9">
        <v>50</v>
      </c>
      <c r="L11" s="8">
        <f t="shared" si="0"/>
        <v>0</v>
      </c>
    </row>
    <row r="12" spans="1:12" ht="192" customHeight="1" thickBot="1" x14ac:dyDescent="0.3">
      <c r="A12" s="47"/>
      <c r="B12" s="13" t="s">
        <v>32</v>
      </c>
      <c r="C12" s="12" t="s">
        <v>31</v>
      </c>
      <c r="D12" s="12" t="s">
        <v>24</v>
      </c>
      <c r="E12" s="13" t="s">
        <v>78</v>
      </c>
      <c r="F12" s="22" t="s">
        <v>4</v>
      </c>
      <c r="G12" s="13" t="s">
        <v>8</v>
      </c>
      <c r="H12" s="12" t="s">
        <v>75</v>
      </c>
      <c r="I12" s="11">
        <v>100</v>
      </c>
      <c r="J12" s="10"/>
      <c r="K12" s="9">
        <v>100</v>
      </c>
      <c r="L12" s="8">
        <f t="shared" si="0"/>
        <v>0</v>
      </c>
    </row>
    <row r="13" spans="1:12" ht="192" customHeight="1" thickBot="1" x14ac:dyDescent="0.3">
      <c r="A13" s="48"/>
      <c r="B13" s="13" t="s">
        <v>32</v>
      </c>
      <c r="C13" s="12" t="s">
        <v>31</v>
      </c>
      <c r="D13" s="12" t="s">
        <v>24</v>
      </c>
      <c r="E13" s="13" t="s">
        <v>78</v>
      </c>
      <c r="F13" s="22" t="s">
        <v>4</v>
      </c>
      <c r="G13" s="13" t="s">
        <v>0</v>
      </c>
      <c r="H13" s="12" t="s">
        <v>75</v>
      </c>
      <c r="I13" s="11">
        <v>1000</v>
      </c>
      <c r="J13" s="10">
        <v>500</v>
      </c>
      <c r="K13" s="9">
        <v>500</v>
      </c>
      <c r="L13" s="8">
        <f t="shared" si="0"/>
        <v>0</v>
      </c>
    </row>
    <row r="14" spans="1:12" ht="192" customHeight="1" thickBot="1" x14ac:dyDescent="0.3">
      <c r="A14" s="46" t="s">
        <v>36</v>
      </c>
      <c r="B14" s="13" t="s">
        <v>99</v>
      </c>
      <c r="C14" s="12" t="s">
        <v>100</v>
      </c>
      <c r="D14" s="12" t="s">
        <v>24</v>
      </c>
      <c r="E14" s="13" t="s">
        <v>128</v>
      </c>
      <c r="F14" s="22" t="s">
        <v>102</v>
      </c>
      <c r="G14" s="13" t="s">
        <v>37</v>
      </c>
      <c r="H14" s="12" t="s">
        <v>75</v>
      </c>
      <c r="I14" s="11">
        <v>1000</v>
      </c>
      <c r="J14" s="10"/>
      <c r="K14" s="9">
        <v>1000</v>
      </c>
      <c r="L14" s="8">
        <f t="shared" si="0"/>
        <v>0</v>
      </c>
    </row>
    <row r="15" spans="1:12" ht="192" customHeight="1" thickBot="1" x14ac:dyDescent="0.3">
      <c r="A15" s="47"/>
      <c r="B15" s="13" t="s">
        <v>99</v>
      </c>
      <c r="C15" s="12" t="s">
        <v>100</v>
      </c>
      <c r="D15" s="12" t="s">
        <v>24</v>
      </c>
      <c r="E15" s="13" t="s">
        <v>101</v>
      </c>
      <c r="F15" s="22" t="s">
        <v>102</v>
      </c>
      <c r="G15" s="13" t="s">
        <v>37</v>
      </c>
      <c r="H15" s="12" t="s">
        <v>75</v>
      </c>
      <c r="I15" s="11">
        <v>169</v>
      </c>
      <c r="J15" s="10">
        <v>169</v>
      </c>
      <c r="K15" s="9"/>
      <c r="L15" s="8">
        <f t="shared" si="0"/>
        <v>0</v>
      </c>
    </row>
    <row r="16" spans="1:12" ht="192" customHeight="1" thickBot="1" x14ac:dyDescent="0.3">
      <c r="A16" s="47"/>
      <c r="B16" s="24" t="s">
        <v>99</v>
      </c>
      <c r="C16" s="12" t="s">
        <v>100</v>
      </c>
      <c r="D16" s="12" t="s">
        <v>24</v>
      </c>
      <c r="E16" s="13" t="s">
        <v>103</v>
      </c>
      <c r="F16" s="22" t="s">
        <v>102</v>
      </c>
      <c r="G16" s="13" t="s">
        <v>37</v>
      </c>
      <c r="H16" s="12" t="s">
        <v>75</v>
      </c>
      <c r="I16" s="11">
        <v>147</v>
      </c>
      <c r="J16" s="10"/>
      <c r="K16" s="9">
        <v>147</v>
      </c>
      <c r="L16" s="8">
        <f t="shared" si="0"/>
        <v>0</v>
      </c>
    </row>
    <row r="17" spans="1:12" ht="192" customHeight="1" thickBot="1" x14ac:dyDescent="0.3">
      <c r="A17" s="47"/>
      <c r="B17" s="24" t="s">
        <v>28</v>
      </c>
      <c r="C17" s="12" t="s">
        <v>34</v>
      </c>
      <c r="D17" s="12" t="s">
        <v>24</v>
      </c>
      <c r="E17" s="13" t="s">
        <v>33</v>
      </c>
      <c r="F17" s="22" t="s">
        <v>4</v>
      </c>
      <c r="G17" s="13" t="s">
        <v>0</v>
      </c>
      <c r="H17" s="12" t="s">
        <v>75</v>
      </c>
      <c r="I17" s="11">
        <v>768</v>
      </c>
      <c r="J17" s="10"/>
      <c r="K17" s="9">
        <v>768</v>
      </c>
      <c r="L17" s="8">
        <f t="shared" si="0"/>
        <v>0</v>
      </c>
    </row>
    <row r="18" spans="1:12" ht="192" customHeight="1" thickBot="1" x14ac:dyDescent="0.3">
      <c r="A18" s="47"/>
      <c r="B18" s="24" t="s">
        <v>32</v>
      </c>
      <c r="C18" s="12" t="s">
        <v>31</v>
      </c>
      <c r="D18" s="12" t="s">
        <v>24</v>
      </c>
      <c r="E18" s="13" t="s">
        <v>80</v>
      </c>
      <c r="F18" s="22" t="s">
        <v>9</v>
      </c>
      <c r="G18" s="13" t="s">
        <v>0</v>
      </c>
      <c r="H18" s="12" t="s">
        <v>75</v>
      </c>
      <c r="I18" s="11">
        <v>2000</v>
      </c>
      <c r="J18" s="10"/>
      <c r="K18" s="9">
        <v>2000</v>
      </c>
      <c r="L18" s="8">
        <f t="shared" si="0"/>
        <v>0</v>
      </c>
    </row>
    <row r="19" spans="1:12" ht="192" customHeight="1" thickBot="1" x14ac:dyDescent="0.3">
      <c r="A19" s="47"/>
      <c r="B19" s="24" t="s">
        <v>40</v>
      </c>
      <c r="C19" s="12" t="s">
        <v>15</v>
      </c>
      <c r="D19" s="12" t="s">
        <v>24</v>
      </c>
      <c r="E19" s="13" t="s">
        <v>96</v>
      </c>
      <c r="F19" s="22" t="s">
        <v>4</v>
      </c>
      <c r="G19" s="13" t="s">
        <v>0</v>
      </c>
      <c r="H19" s="12" t="s">
        <v>75</v>
      </c>
      <c r="I19" s="11">
        <v>2000</v>
      </c>
      <c r="J19" s="10"/>
      <c r="K19" s="9">
        <v>2000</v>
      </c>
      <c r="L19" s="8">
        <f t="shared" si="0"/>
        <v>0</v>
      </c>
    </row>
    <row r="20" spans="1:12" ht="192" customHeight="1" thickBot="1" x14ac:dyDescent="0.3">
      <c r="A20" s="47"/>
      <c r="B20" s="24" t="s">
        <v>77</v>
      </c>
      <c r="C20" s="12" t="s">
        <v>27</v>
      </c>
      <c r="D20" s="12" t="s">
        <v>24</v>
      </c>
      <c r="E20" s="13" t="s">
        <v>76</v>
      </c>
      <c r="F20" s="22" t="s">
        <v>4</v>
      </c>
      <c r="G20" s="13" t="s">
        <v>8</v>
      </c>
      <c r="H20" s="12" t="s">
        <v>75</v>
      </c>
      <c r="I20" s="11">
        <v>20</v>
      </c>
      <c r="J20" s="10"/>
      <c r="K20" s="9">
        <v>20</v>
      </c>
      <c r="L20" s="8">
        <f t="shared" si="0"/>
        <v>0</v>
      </c>
    </row>
    <row r="21" spans="1:12" ht="192" customHeight="1" thickBot="1" x14ac:dyDescent="0.3">
      <c r="A21" s="48"/>
      <c r="B21" s="24" t="s">
        <v>77</v>
      </c>
      <c r="C21" s="12" t="s">
        <v>27</v>
      </c>
      <c r="D21" s="12" t="s">
        <v>24</v>
      </c>
      <c r="E21" s="13" t="s">
        <v>39</v>
      </c>
      <c r="F21" s="22" t="s">
        <v>4</v>
      </c>
      <c r="G21" s="13" t="s">
        <v>0</v>
      </c>
      <c r="H21" s="12" t="s">
        <v>75</v>
      </c>
      <c r="I21" s="11">
        <v>2000</v>
      </c>
      <c r="J21" s="10">
        <v>1000</v>
      </c>
      <c r="K21" s="9">
        <v>1000</v>
      </c>
      <c r="L21" s="8">
        <f t="shared" si="0"/>
        <v>0</v>
      </c>
    </row>
    <row r="22" spans="1:12" ht="192" customHeight="1" thickBot="1" x14ac:dyDescent="0.3">
      <c r="A22" s="46" t="s">
        <v>23</v>
      </c>
      <c r="B22" s="24" t="s">
        <v>21</v>
      </c>
      <c r="C22" s="12" t="s">
        <v>3</v>
      </c>
      <c r="D22" s="12" t="s">
        <v>20</v>
      </c>
      <c r="E22" s="13" t="s">
        <v>57</v>
      </c>
      <c r="F22" s="22" t="s">
        <v>9</v>
      </c>
      <c r="G22" s="13" t="s">
        <v>0</v>
      </c>
      <c r="H22" s="12" t="s">
        <v>75</v>
      </c>
      <c r="I22" s="11">
        <v>2900</v>
      </c>
      <c r="J22" s="10"/>
      <c r="K22" s="9">
        <v>2900</v>
      </c>
      <c r="L22" s="8">
        <f t="shared" si="0"/>
        <v>0</v>
      </c>
    </row>
    <row r="23" spans="1:12" ht="192" customHeight="1" thickBot="1" x14ac:dyDescent="0.3">
      <c r="A23" s="47"/>
      <c r="B23" s="24" t="s">
        <v>21</v>
      </c>
      <c r="C23" s="12" t="s">
        <v>3</v>
      </c>
      <c r="D23" s="12" t="s">
        <v>20</v>
      </c>
      <c r="E23" s="13" t="s">
        <v>56</v>
      </c>
      <c r="F23" s="22" t="s">
        <v>9</v>
      </c>
      <c r="G23" s="13" t="s">
        <v>0</v>
      </c>
      <c r="H23" s="12" t="s">
        <v>75</v>
      </c>
      <c r="I23" s="11">
        <v>6000</v>
      </c>
      <c r="J23" s="10"/>
      <c r="K23" s="9">
        <v>6000</v>
      </c>
      <c r="L23" s="8">
        <f t="shared" si="0"/>
        <v>0</v>
      </c>
    </row>
    <row r="24" spans="1:12" ht="192" customHeight="1" thickBot="1" x14ac:dyDescent="0.3">
      <c r="A24" s="48"/>
      <c r="B24" s="24" t="s">
        <v>21</v>
      </c>
      <c r="C24" s="12" t="s">
        <v>3</v>
      </c>
      <c r="D24" s="12" t="s">
        <v>20</v>
      </c>
      <c r="E24" s="13" t="s">
        <v>57</v>
      </c>
      <c r="F24" s="22" t="s">
        <v>9</v>
      </c>
      <c r="G24" s="13" t="s">
        <v>0</v>
      </c>
      <c r="H24" s="12" t="s">
        <v>75</v>
      </c>
      <c r="I24" s="11">
        <v>8000</v>
      </c>
      <c r="J24" s="10"/>
      <c r="K24" s="9">
        <v>8000</v>
      </c>
      <c r="L24" s="8">
        <f t="shared" si="0"/>
        <v>0</v>
      </c>
    </row>
    <row r="25" spans="1:12" ht="192" customHeight="1" thickBot="1" x14ac:dyDescent="0.3">
      <c r="A25" s="46" t="s">
        <v>54</v>
      </c>
      <c r="B25" s="24" t="s">
        <v>104</v>
      </c>
      <c r="C25" s="12" t="s">
        <v>105</v>
      </c>
      <c r="D25" s="12" t="s">
        <v>60</v>
      </c>
      <c r="E25" s="13" t="s">
        <v>106</v>
      </c>
      <c r="F25" s="22" t="s">
        <v>64</v>
      </c>
      <c r="G25" s="13" t="s">
        <v>37</v>
      </c>
      <c r="H25" s="12" t="s">
        <v>75</v>
      </c>
      <c r="I25" s="11">
        <v>200</v>
      </c>
      <c r="J25" s="10">
        <v>200</v>
      </c>
      <c r="K25" s="9"/>
      <c r="L25" s="8">
        <f t="shared" si="0"/>
        <v>0</v>
      </c>
    </row>
    <row r="26" spans="1:12" ht="192" customHeight="1" thickBot="1" x14ac:dyDescent="0.3">
      <c r="A26" s="47"/>
      <c r="B26" s="24" t="s">
        <v>104</v>
      </c>
      <c r="C26" s="12" t="s">
        <v>105</v>
      </c>
      <c r="D26" s="12" t="s">
        <v>60</v>
      </c>
      <c r="E26" s="13" t="s">
        <v>107</v>
      </c>
      <c r="F26" s="22" t="s">
        <v>64</v>
      </c>
      <c r="G26" s="13" t="s">
        <v>37</v>
      </c>
      <c r="H26" s="12" t="s">
        <v>75</v>
      </c>
      <c r="I26" s="11">
        <v>135</v>
      </c>
      <c r="J26" s="10"/>
      <c r="K26" s="9">
        <v>135</v>
      </c>
      <c r="L26" s="8">
        <f t="shared" si="0"/>
        <v>0</v>
      </c>
    </row>
    <row r="27" spans="1:12" ht="192" customHeight="1" thickBot="1" x14ac:dyDescent="0.3">
      <c r="A27" s="47"/>
      <c r="B27" s="24" t="s">
        <v>104</v>
      </c>
      <c r="C27" s="12" t="s">
        <v>105</v>
      </c>
      <c r="D27" s="12" t="s">
        <v>60</v>
      </c>
      <c r="E27" s="13" t="s">
        <v>108</v>
      </c>
      <c r="F27" s="22" t="s">
        <v>64</v>
      </c>
      <c r="G27" s="13" t="s">
        <v>37</v>
      </c>
      <c r="H27" s="12" t="s">
        <v>75</v>
      </c>
      <c r="I27" s="11">
        <v>200</v>
      </c>
      <c r="J27" s="10"/>
      <c r="K27" s="9">
        <v>200</v>
      </c>
      <c r="L27" s="8">
        <f t="shared" si="0"/>
        <v>0</v>
      </c>
    </row>
    <row r="28" spans="1:12" ht="192" customHeight="1" thickBot="1" x14ac:dyDescent="0.3">
      <c r="A28" s="48"/>
      <c r="B28" s="24" t="s">
        <v>104</v>
      </c>
      <c r="C28" s="12" t="s">
        <v>105</v>
      </c>
      <c r="D28" s="12" t="s">
        <v>60</v>
      </c>
      <c r="E28" s="13" t="s">
        <v>109</v>
      </c>
      <c r="F28" s="22" t="s">
        <v>64</v>
      </c>
      <c r="G28" s="13" t="s">
        <v>37</v>
      </c>
      <c r="H28" s="12" t="s">
        <v>75</v>
      </c>
      <c r="I28" s="11">
        <v>200</v>
      </c>
      <c r="J28" s="10"/>
      <c r="K28" s="9">
        <v>200</v>
      </c>
      <c r="L28" s="8">
        <f t="shared" si="0"/>
        <v>0</v>
      </c>
    </row>
    <row r="29" spans="1:12" ht="192" customHeight="1" thickBot="1" x14ac:dyDescent="0.3">
      <c r="A29" s="46" t="s">
        <v>19</v>
      </c>
      <c r="B29" s="24" t="s">
        <v>12</v>
      </c>
      <c r="C29" s="12" t="s">
        <v>118</v>
      </c>
      <c r="D29" s="12" t="s">
        <v>123</v>
      </c>
      <c r="E29" s="13" t="s">
        <v>124</v>
      </c>
      <c r="F29" s="22" t="s">
        <v>9</v>
      </c>
      <c r="G29" s="13" t="s">
        <v>0</v>
      </c>
      <c r="H29" s="12" t="s">
        <v>79</v>
      </c>
      <c r="I29" s="11">
        <v>3000</v>
      </c>
      <c r="J29" s="10"/>
      <c r="K29" s="9">
        <v>3000</v>
      </c>
      <c r="L29" s="8">
        <f t="shared" si="0"/>
        <v>0</v>
      </c>
    </row>
    <row r="30" spans="1:12" ht="192" customHeight="1" thickBot="1" x14ac:dyDescent="0.3">
      <c r="A30" s="47"/>
      <c r="B30" s="24" t="s">
        <v>12</v>
      </c>
      <c r="C30" s="12" t="s">
        <v>3</v>
      </c>
      <c r="D30" s="12" t="s">
        <v>11</v>
      </c>
      <c r="E30" s="13" t="s">
        <v>10</v>
      </c>
      <c r="F30" s="22" t="s">
        <v>4</v>
      </c>
      <c r="G30" s="13" t="s">
        <v>0</v>
      </c>
      <c r="H30" s="12" t="s">
        <v>75</v>
      </c>
      <c r="I30" s="11">
        <v>4837</v>
      </c>
      <c r="J30" s="10">
        <v>2000</v>
      </c>
      <c r="K30" s="9">
        <v>2837</v>
      </c>
      <c r="L30" s="8">
        <f t="shared" si="0"/>
        <v>0</v>
      </c>
    </row>
    <row r="31" spans="1:12" ht="192" customHeight="1" thickBot="1" x14ac:dyDescent="0.3">
      <c r="A31" s="48"/>
      <c r="B31" s="24" t="s">
        <v>12</v>
      </c>
      <c r="C31" s="12" t="s">
        <v>3</v>
      </c>
      <c r="D31" s="12" t="s">
        <v>11</v>
      </c>
      <c r="E31" s="13" t="s">
        <v>10</v>
      </c>
      <c r="F31" s="22" t="s">
        <v>9</v>
      </c>
      <c r="G31" s="13" t="s">
        <v>0</v>
      </c>
      <c r="H31" s="12" t="s">
        <v>79</v>
      </c>
      <c r="I31" s="11">
        <v>3000</v>
      </c>
      <c r="J31" s="10"/>
      <c r="K31" s="9">
        <v>3000</v>
      </c>
      <c r="L31" s="8">
        <f t="shared" si="0"/>
        <v>0</v>
      </c>
    </row>
  </sheetData>
  <autoFilter ref="A2:L21"/>
  <dataConsolidate/>
  <mergeCells count="6">
    <mergeCell ref="A22:A24"/>
    <mergeCell ref="A25:A28"/>
    <mergeCell ref="A29:A31"/>
    <mergeCell ref="A1:L1"/>
    <mergeCell ref="A3:A13"/>
    <mergeCell ref="A14:A21"/>
  </mergeCells>
  <conditionalFormatting sqref="I2:I31 K3:L31">
    <cfRule type="cellIs" dxfId="176" priority="2" operator="lessThan">
      <formula>0</formula>
    </cfRule>
  </conditionalFormatting>
  <conditionalFormatting sqref="L2">
    <cfRule type="cellIs" dxfId="175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9"/>
  <sheetViews>
    <sheetView showGridLines="0" view="pageBreakPreview" topLeftCell="A13" zoomScale="20" zoomScaleNormal="27" zoomScaleSheetLayoutView="20" workbookViewId="0">
      <selection activeCell="J4" sqref="J4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110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92" customHeight="1" thickBot="1" x14ac:dyDescent="0.3">
      <c r="A3" s="46" t="s">
        <v>41</v>
      </c>
      <c r="B3" s="13" t="s">
        <v>35</v>
      </c>
      <c r="C3" s="12" t="s">
        <v>26</v>
      </c>
      <c r="D3" s="12" t="s">
        <v>24</v>
      </c>
      <c r="E3" s="13" t="s">
        <v>59</v>
      </c>
      <c r="F3" s="22" t="s">
        <v>4</v>
      </c>
      <c r="G3" s="13" t="s">
        <v>0</v>
      </c>
      <c r="H3" s="12" t="s">
        <v>79</v>
      </c>
      <c r="I3" s="11">
        <v>2000</v>
      </c>
      <c r="J3" s="10">
        <v>1000</v>
      </c>
      <c r="K3" s="9">
        <v>1000</v>
      </c>
      <c r="L3" s="8">
        <f t="shared" ref="L3:L48" si="0">K3+J3-I3</f>
        <v>0</v>
      </c>
    </row>
    <row r="4" spans="1:12" ht="192" customHeight="1" thickBot="1" x14ac:dyDescent="0.3">
      <c r="A4" s="47"/>
      <c r="B4" s="13" t="s">
        <v>28</v>
      </c>
      <c r="C4" s="12" t="s">
        <v>34</v>
      </c>
      <c r="D4" s="12" t="s">
        <v>24</v>
      </c>
      <c r="E4" s="13" t="s">
        <v>33</v>
      </c>
      <c r="F4" s="22" t="s">
        <v>4</v>
      </c>
      <c r="G4" s="13" t="s">
        <v>0</v>
      </c>
      <c r="H4" s="12" t="s">
        <v>79</v>
      </c>
      <c r="I4" s="11">
        <v>2500</v>
      </c>
      <c r="J4" s="10">
        <v>1000</v>
      </c>
      <c r="K4" s="9">
        <v>1500</v>
      </c>
      <c r="L4" s="8">
        <f t="shared" si="0"/>
        <v>0</v>
      </c>
    </row>
    <row r="5" spans="1:12" ht="192" customHeight="1" thickBot="1" x14ac:dyDescent="0.3">
      <c r="A5" s="47"/>
      <c r="B5" s="13" t="s">
        <v>40</v>
      </c>
      <c r="C5" s="12" t="s">
        <v>100</v>
      </c>
      <c r="D5" s="12" t="s">
        <v>126</v>
      </c>
      <c r="E5" s="23" t="s">
        <v>130</v>
      </c>
      <c r="F5" s="22" t="s">
        <v>131</v>
      </c>
      <c r="G5" s="13" t="s">
        <v>37</v>
      </c>
      <c r="H5" s="12" t="s">
        <v>75</v>
      </c>
      <c r="I5" s="11">
        <v>2849</v>
      </c>
      <c r="J5" s="10"/>
      <c r="K5" s="9">
        <v>2849</v>
      </c>
      <c r="L5" s="8">
        <f t="shared" si="0"/>
        <v>0</v>
      </c>
    </row>
    <row r="6" spans="1:12" ht="192" customHeight="1" thickBot="1" x14ac:dyDescent="0.3">
      <c r="A6" s="47"/>
      <c r="B6" s="13" t="s">
        <v>32</v>
      </c>
      <c r="C6" s="12" t="s">
        <v>31</v>
      </c>
      <c r="D6" s="12" t="s">
        <v>24</v>
      </c>
      <c r="E6" s="23" t="s">
        <v>78</v>
      </c>
      <c r="F6" s="22" t="s">
        <v>4</v>
      </c>
      <c r="G6" s="13" t="s">
        <v>0</v>
      </c>
      <c r="H6" s="12" t="s">
        <v>79</v>
      </c>
      <c r="I6" s="11">
        <v>4000</v>
      </c>
      <c r="J6" s="10"/>
      <c r="K6" s="9">
        <v>4000</v>
      </c>
      <c r="L6" s="8">
        <f t="shared" si="0"/>
        <v>0</v>
      </c>
    </row>
    <row r="7" spans="1:12" ht="192" customHeight="1" thickBot="1" x14ac:dyDescent="0.3">
      <c r="A7" s="47"/>
      <c r="B7" s="13" t="s">
        <v>32</v>
      </c>
      <c r="C7" s="12" t="s">
        <v>31</v>
      </c>
      <c r="D7" s="12" t="s">
        <v>24</v>
      </c>
      <c r="E7" s="23" t="s">
        <v>71</v>
      </c>
      <c r="F7" s="22" t="s">
        <v>4</v>
      </c>
      <c r="G7" s="13" t="s">
        <v>0</v>
      </c>
      <c r="H7" s="12" t="s">
        <v>79</v>
      </c>
      <c r="I7" s="11">
        <v>1500</v>
      </c>
      <c r="J7" s="10"/>
      <c r="K7" s="9">
        <v>1500</v>
      </c>
      <c r="L7" s="8">
        <f t="shared" si="0"/>
        <v>0</v>
      </c>
    </row>
    <row r="8" spans="1:12" ht="192" customHeight="1" thickBot="1" x14ac:dyDescent="0.3">
      <c r="A8" s="47"/>
      <c r="B8" s="13" t="s">
        <v>66</v>
      </c>
      <c r="C8" s="12" t="s">
        <v>62</v>
      </c>
      <c r="D8" s="12" t="s">
        <v>24</v>
      </c>
      <c r="E8" s="13" t="s">
        <v>63</v>
      </c>
      <c r="F8" s="22" t="s">
        <v>4</v>
      </c>
      <c r="G8" s="13" t="s">
        <v>0</v>
      </c>
      <c r="H8" s="12" t="s">
        <v>79</v>
      </c>
      <c r="I8" s="11">
        <v>2067</v>
      </c>
      <c r="J8" s="10">
        <v>1000</v>
      </c>
      <c r="K8" s="9">
        <v>1067</v>
      </c>
      <c r="L8" s="8">
        <f t="shared" si="0"/>
        <v>0</v>
      </c>
    </row>
    <row r="9" spans="1:12" ht="192" customHeight="1" thickBot="1" x14ac:dyDescent="0.3">
      <c r="A9" s="47"/>
      <c r="B9" s="13" t="s">
        <v>95</v>
      </c>
      <c r="C9" s="12" t="s">
        <v>15</v>
      </c>
      <c r="D9" s="12" t="s">
        <v>24</v>
      </c>
      <c r="E9" s="13" t="s">
        <v>96</v>
      </c>
      <c r="F9" s="22" t="s">
        <v>4</v>
      </c>
      <c r="G9" s="13" t="s">
        <v>0</v>
      </c>
      <c r="H9" s="12" t="s">
        <v>79</v>
      </c>
      <c r="I9" s="11">
        <v>3000</v>
      </c>
      <c r="J9" s="10">
        <v>1000</v>
      </c>
      <c r="K9" s="9">
        <v>2000</v>
      </c>
      <c r="L9" s="8">
        <f t="shared" si="0"/>
        <v>0</v>
      </c>
    </row>
    <row r="10" spans="1:12" ht="192" customHeight="1" thickBot="1" x14ac:dyDescent="0.3">
      <c r="A10" s="47"/>
      <c r="B10" s="13" t="s">
        <v>38</v>
      </c>
      <c r="C10" s="12" t="s">
        <v>27</v>
      </c>
      <c r="D10" s="12" t="s">
        <v>24</v>
      </c>
      <c r="E10" s="13" t="s">
        <v>76</v>
      </c>
      <c r="F10" s="22" t="s">
        <v>4</v>
      </c>
      <c r="G10" s="13" t="s">
        <v>0</v>
      </c>
      <c r="H10" s="12" t="s">
        <v>79</v>
      </c>
      <c r="I10" s="11">
        <v>1000</v>
      </c>
      <c r="J10" s="10"/>
      <c r="K10" s="9">
        <v>1000</v>
      </c>
      <c r="L10" s="8">
        <f t="shared" si="0"/>
        <v>0</v>
      </c>
    </row>
    <row r="11" spans="1:12" ht="192" customHeight="1" thickBot="1" x14ac:dyDescent="0.3">
      <c r="A11" s="47"/>
      <c r="B11" s="13" t="s">
        <v>38</v>
      </c>
      <c r="C11" s="12" t="s">
        <v>27</v>
      </c>
      <c r="D11" s="12" t="s">
        <v>24</v>
      </c>
      <c r="E11" s="13" t="s">
        <v>111</v>
      </c>
      <c r="F11" s="22" t="s">
        <v>4</v>
      </c>
      <c r="G11" s="13" t="s">
        <v>0</v>
      </c>
      <c r="H11" s="12" t="s">
        <v>79</v>
      </c>
      <c r="I11" s="11">
        <v>5000</v>
      </c>
      <c r="J11" s="10">
        <v>1000</v>
      </c>
      <c r="K11" s="9">
        <v>4000</v>
      </c>
      <c r="L11" s="8">
        <f t="shared" si="0"/>
        <v>0</v>
      </c>
    </row>
    <row r="12" spans="1:12" ht="192" customHeight="1" thickBot="1" x14ac:dyDescent="0.3">
      <c r="A12" s="47"/>
      <c r="B12" s="13" t="s">
        <v>112</v>
      </c>
      <c r="C12" s="12" t="s">
        <v>113</v>
      </c>
      <c r="D12" s="12" t="s">
        <v>24</v>
      </c>
      <c r="E12" s="13" t="s">
        <v>114</v>
      </c>
      <c r="F12" s="22" t="s">
        <v>9</v>
      </c>
      <c r="G12" s="13" t="s">
        <v>0</v>
      </c>
      <c r="H12" s="12" t="s">
        <v>79</v>
      </c>
      <c r="I12" s="11">
        <v>600</v>
      </c>
      <c r="J12" s="10"/>
      <c r="K12" s="9">
        <v>600</v>
      </c>
      <c r="L12" s="8">
        <f t="shared" si="0"/>
        <v>0</v>
      </c>
    </row>
    <row r="13" spans="1:12" ht="192" customHeight="1" thickBot="1" x14ac:dyDescent="0.3">
      <c r="A13" s="47"/>
      <c r="B13" s="13" t="s">
        <v>112</v>
      </c>
      <c r="C13" s="12" t="s">
        <v>113</v>
      </c>
      <c r="D13" s="12" t="s">
        <v>24</v>
      </c>
      <c r="E13" s="13" t="s">
        <v>115</v>
      </c>
      <c r="F13" s="22" t="s">
        <v>9</v>
      </c>
      <c r="G13" s="13" t="s">
        <v>0</v>
      </c>
      <c r="H13" s="12" t="s">
        <v>79</v>
      </c>
      <c r="I13" s="11">
        <v>3000</v>
      </c>
      <c r="J13" s="10">
        <v>1000</v>
      </c>
      <c r="K13" s="9">
        <v>2000</v>
      </c>
      <c r="L13" s="8">
        <f t="shared" si="0"/>
        <v>0</v>
      </c>
    </row>
    <row r="14" spans="1:12" ht="192" customHeight="1" thickBot="1" x14ac:dyDescent="0.3">
      <c r="A14" s="47"/>
      <c r="B14" s="13" t="s">
        <v>32</v>
      </c>
      <c r="C14" s="12" t="s">
        <v>31</v>
      </c>
      <c r="D14" s="12" t="s">
        <v>24</v>
      </c>
      <c r="E14" s="13" t="s">
        <v>80</v>
      </c>
      <c r="F14" s="22" t="s">
        <v>9</v>
      </c>
      <c r="G14" s="13" t="s">
        <v>0</v>
      </c>
      <c r="H14" s="12" t="s">
        <v>79</v>
      </c>
      <c r="I14" s="11">
        <v>1000</v>
      </c>
      <c r="J14" s="10"/>
      <c r="K14" s="9">
        <v>1000</v>
      </c>
      <c r="L14" s="8">
        <f t="shared" si="0"/>
        <v>0</v>
      </c>
    </row>
    <row r="15" spans="1:12" ht="192" customHeight="1" thickBot="1" x14ac:dyDescent="0.3">
      <c r="A15" s="48"/>
      <c r="B15" s="13" t="s">
        <v>32</v>
      </c>
      <c r="C15" s="12" t="s">
        <v>31</v>
      </c>
      <c r="D15" s="12" t="s">
        <v>24</v>
      </c>
      <c r="E15" s="13" t="s">
        <v>116</v>
      </c>
      <c r="F15" s="22" t="s">
        <v>9</v>
      </c>
      <c r="G15" s="13" t="s">
        <v>0</v>
      </c>
      <c r="H15" s="12" t="s">
        <v>79</v>
      </c>
      <c r="I15" s="11">
        <v>2000</v>
      </c>
      <c r="J15" s="10">
        <v>1000</v>
      </c>
      <c r="K15" s="9">
        <v>1000</v>
      </c>
      <c r="L15" s="8">
        <f t="shared" si="0"/>
        <v>0</v>
      </c>
    </row>
    <row r="16" spans="1:12" ht="192" customHeight="1" thickBot="1" x14ac:dyDescent="0.3">
      <c r="A16" s="46" t="s">
        <v>36</v>
      </c>
      <c r="B16" s="13" t="s">
        <v>66</v>
      </c>
      <c r="C16" s="12" t="s">
        <v>62</v>
      </c>
      <c r="D16" s="12" t="s">
        <v>24</v>
      </c>
      <c r="E16" s="13" t="s">
        <v>117</v>
      </c>
      <c r="F16" s="22" t="s">
        <v>4</v>
      </c>
      <c r="G16" s="13" t="s">
        <v>0</v>
      </c>
      <c r="H16" s="12" t="s">
        <v>79</v>
      </c>
      <c r="I16" s="11">
        <v>500</v>
      </c>
      <c r="J16" s="10"/>
      <c r="K16" s="9">
        <v>500</v>
      </c>
      <c r="L16" s="8">
        <f t="shared" si="0"/>
        <v>0</v>
      </c>
    </row>
    <row r="17" spans="1:12" ht="192" customHeight="1" thickBot="1" x14ac:dyDescent="0.3">
      <c r="A17" s="47"/>
      <c r="B17" s="13" t="s">
        <v>66</v>
      </c>
      <c r="C17" s="12" t="s">
        <v>62</v>
      </c>
      <c r="D17" s="12" t="s">
        <v>24</v>
      </c>
      <c r="E17" s="13" t="s">
        <v>63</v>
      </c>
      <c r="F17" s="22" t="s">
        <v>4</v>
      </c>
      <c r="G17" s="13" t="s">
        <v>0</v>
      </c>
      <c r="H17" s="12" t="s">
        <v>79</v>
      </c>
      <c r="I17" s="11">
        <v>1500</v>
      </c>
      <c r="J17" s="10">
        <v>1000</v>
      </c>
      <c r="K17" s="9">
        <v>500</v>
      </c>
      <c r="L17" s="8">
        <f t="shared" si="0"/>
        <v>0</v>
      </c>
    </row>
    <row r="18" spans="1:12" ht="192" customHeight="1" thickBot="1" x14ac:dyDescent="0.3">
      <c r="A18" s="47"/>
      <c r="B18" s="13" t="s">
        <v>28</v>
      </c>
      <c r="C18" s="12" t="s">
        <v>34</v>
      </c>
      <c r="D18" s="12" t="s">
        <v>24</v>
      </c>
      <c r="E18" s="13" t="s">
        <v>33</v>
      </c>
      <c r="F18" s="22" t="s">
        <v>4</v>
      </c>
      <c r="G18" s="13" t="s">
        <v>0</v>
      </c>
      <c r="H18" s="12" t="s">
        <v>79</v>
      </c>
      <c r="I18" s="11">
        <v>1000</v>
      </c>
      <c r="J18" s="10"/>
      <c r="K18" s="9">
        <v>1000</v>
      </c>
      <c r="L18" s="8">
        <f t="shared" si="0"/>
        <v>0</v>
      </c>
    </row>
    <row r="19" spans="1:12" ht="192" customHeight="1" thickBot="1" x14ac:dyDescent="0.3">
      <c r="A19" s="47"/>
      <c r="B19" s="24" t="s">
        <v>61</v>
      </c>
      <c r="C19" s="12" t="s">
        <v>31</v>
      </c>
      <c r="D19" s="12" t="s">
        <v>24</v>
      </c>
      <c r="E19" s="13" t="s">
        <v>80</v>
      </c>
      <c r="F19" s="22" t="s">
        <v>9</v>
      </c>
      <c r="G19" s="13" t="s">
        <v>0</v>
      </c>
      <c r="H19" s="12" t="s">
        <v>79</v>
      </c>
      <c r="I19" s="11">
        <v>1000</v>
      </c>
      <c r="J19" s="10"/>
      <c r="K19" s="9">
        <v>1000</v>
      </c>
      <c r="L19" s="8">
        <f t="shared" si="0"/>
        <v>0</v>
      </c>
    </row>
    <row r="20" spans="1:12" ht="192" customHeight="1" thickBot="1" x14ac:dyDescent="0.3">
      <c r="A20" s="47"/>
      <c r="B20" s="24" t="s">
        <v>28</v>
      </c>
      <c r="C20" s="12" t="s">
        <v>34</v>
      </c>
      <c r="D20" s="12" t="s">
        <v>24</v>
      </c>
      <c r="E20" s="13" t="s">
        <v>33</v>
      </c>
      <c r="F20" s="22" t="s">
        <v>4</v>
      </c>
      <c r="G20" s="13" t="s">
        <v>0</v>
      </c>
      <c r="H20" s="12" t="s">
        <v>79</v>
      </c>
      <c r="I20" s="11">
        <v>1120</v>
      </c>
      <c r="J20" s="10"/>
      <c r="K20" s="9">
        <v>1120</v>
      </c>
      <c r="L20" s="8">
        <f t="shared" si="0"/>
        <v>0</v>
      </c>
    </row>
    <row r="21" spans="1:12" ht="192" customHeight="1" thickBot="1" x14ac:dyDescent="0.3">
      <c r="A21" s="47"/>
      <c r="B21" s="24" t="s">
        <v>61</v>
      </c>
      <c r="C21" s="12" t="s">
        <v>31</v>
      </c>
      <c r="D21" s="12" t="s">
        <v>24</v>
      </c>
      <c r="E21" s="23" t="s">
        <v>71</v>
      </c>
      <c r="F21" s="22" t="s">
        <v>4</v>
      </c>
      <c r="G21" s="13" t="s">
        <v>0</v>
      </c>
      <c r="H21" s="12" t="s">
        <v>79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92" customHeight="1" thickBot="1" x14ac:dyDescent="0.3">
      <c r="A22" s="47"/>
      <c r="B22" s="24" t="s">
        <v>32</v>
      </c>
      <c r="C22" s="12" t="s">
        <v>31</v>
      </c>
      <c r="D22" s="12" t="s">
        <v>24</v>
      </c>
      <c r="E22" s="23" t="s">
        <v>78</v>
      </c>
      <c r="F22" s="22" t="s">
        <v>4</v>
      </c>
      <c r="G22" s="13" t="s">
        <v>0</v>
      </c>
      <c r="H22" s="12" t="s">
        <v>79</v>
      </c>
      <c r="I22" s="11">
        <v>3000</v>
      </c>
      <c r="J22" s="10"/>
      <c r="K22" s="9">
        <v>3000</v>
      </c>
      <c r="L22" s="8">
        <f t="shared" si="0"/>
        <v>0</v>
      </c>
    </row>
    <row r="23" spans="1:12" ht="192" customHeight="1" thickBot="1" x14ac:dyDescent="0.3">
      <c r="A23" s="47"/>
      <c r="B23" s="24" t="s">
        <v>35</v>
      </c>
      <c r="C23" s="12" t="s">
        <v>26</v>
      </c>
      <c r="D23" s="12" t="s">
        <v>24</v>
      </c>
      <c r="E23" s="23" t="s">
        <v>25</v>
      </c>
      <c r="F23" s="22" t="s">
        <v>4</v>
      </c>
      <c r="G23" s="13" t="s">
        <v>0</v>
      </c>
      <c r="H23" s="12" t="s">
        <v>79</v>
      </c>
      <c r="I23" s="11">
        <v>1553</v>
      </c>
      <c r="J23" s="10"/>
      <c r="K23" s="9">
        <v>1553</v>
      </c>
      <c r="L23" s="8">
        <f t="shared" si="0"/>
        <v>0</v>
      </c>
    </row>
    <row r="24" spans="1:12" ht="192" customHeight="1" thickBot="1" x14ac:dyDescent="0.3">
      <c r="A24" s="47"/>
      <c r="B24" s="24" t="s">
        <v>40</v>
      </c>
      <c r="C24" s="12" t="s">
        <v>15</v>
      </c>
      <c r="D24" s="12" t="s">
        <v>24</v>
      </c>
      <c r="E24" s="23" t="s">
        <v>96</v>
      </c>
      <c r="F24" s="22" t="s">
        <v>4</v>
      </c>
      <c r="G24" s="13" t="s">
        <v>0</v>
      </c>
      <c r="H24" s="12" t="s">
        <v>79</v>
      </c>
      <c r="I24" s="11">
        <v>1842</v>
      </c>
      <c r="J24" s="10"/>
      <c r="K24" s="9">
        <v>1842</v>
      </c>
      <c r="L24" s="8">
        <f t="shared" si="0"/>
        <v>0</v>
      </c>
    </row>
    <row r="25" spans="1:12" ht="192" customHeight="1" thickBot="1" x14ac:dyDescent="0.3">
      <c r="A25" s="47"/>
      <c r="B25" s="24" t="s">
        <v>77</v>
      </c>
      <c r="C25" s="12" t="s">
        <v>27</v>
      </c>
      <c r="D25" s="12" t="s">
        <v>24</v>
      </c>
      <c r="E25" s="23" t="s">
        <v>111</v>
      </c>
      <c r="F25" s="22" t="s">
        <v>4</v>
      </c>
      <c r="G25" s="13" t="s">
        <v>0</v>
      </c>
      <c r="H25" s="12" t="s">
        <v>79</v>
      </c>
      <c r="I25" s="11">
        <v>1688</v>
      </c>
      <c r="J25" s="10"/>
      <c r="K25" s="9">
        <v>1688</v>
      </c>
      <c r="L25" s="8">
        <f t="shared" si="0"/>
        <v>0</v>
      </c>
    </row>
    <row r="26" spans="1:12" ht="192" customHeight="1" thickBot="1" x14ac:dyDescent="0.3">
      <c r="A26" s="47"/>
      <c r="B26" s="24" t="s">
        <v>95</v>
      </c>
      <c r="C26" s="12" t="s">
        <v>15</v>
      </c>
      <c r="D26" s="12" t="s">
        <v>24</v>
      </c>
      <c r="E26" s="23" t="s">
        <v>96</v>
      </c>
      <c r="F26" s="22" t="s">
        <v>4</v>
      </c>
      <c r="G26" s="13" t="s">
        <v>0</v>
      </c>
      <c r="H26" s="12" t="s">
        <v>79</v>
      </c>
      <c r="I26" s="11">
        <v>2000</v>
      </c>
      <c r="J26" s="10">
        <v>1000</v>
      </c>
      <c r="K26" s="9">
        <v>1000</v>
      </c>
      <c r="L26" s="8">
        <f t="shared" si="0"/>
        <v>0</v>
      </c>
    </row>
    <row r="27" spans="1:12" ht="192" customHeight="1" thickBot="1" x14ac:dyDescent="0.3">
      <c r="A27" s="47"/>
      <c r="B27" s="24" t="s">
        <v>38</v>
      </c>
      <c r="C27" s="12" t="s">
        <v>27</v>
      </c>
      <c r="D27" s="12" t="s">
        <v>24</v>
      </c>
      <c r="E27" s="13" t="s">
        <v>76</v>
      </c>
      <c r="F27" s="22" t="s">
        <v>4</v>
      </c>
      <c r="G27" s="13" t="s">
        <v>0</v>
      </c>
      <c r="H27" s="12" t="s">
        <v>79</v>
      </c>
      <c r="I27" s="11">
        <v>1000</v>
      </c>
      <c r="J27" s="10">
        <v>1000</v>
      </c>
      <c r="K27" s="9"/>
      <c r="L27" s="8">
        <f t="shared" si="0"/>
        <v>0</v>
      </c>
    </row>
    <row r="28" spans="1:12" ht="192" customHeight="1" thickBot="1" x14ac:dyDescent="0.3">
      <c r="A28" s="47"/>
      <c r="B28" s="24" t="s">
        <v>38</v>
      </c>
      <c r="C28" s="12" t="s">
        <v>27</v>
      </c>
      <c r="D28" s="12" t="s">
        <v>24</v>
      </c>
      <c r="E28" s="13" t="s">
        <v>111</v>
      </c>
      <c r="F28" s="22" t="s">
        <v>4</v>
      </c>
      <c r="G28" s="13" t="s">
        <v>0</v>
      </c>
      <c r="H28" s="12" t="s">
        <v>79</v>
      </c>
      <c r="I28" s="11">
        <v>1000</v>
      </c>
      <c r="J28" s="10">
        <v>1000</v>
      </c>
      <c r="K28" s="9"/>
      <c r="L28" s="8">
        <f t="shared" si="0"/>
        <v>0</v>
      </c>
    </row>
    <row r="29" spans="1:12" ht="192" customHeight="1" thickBot="1" x14ac:dyDescent="0.3">
      <c r="A29" s="48"/>
      <c r="B29" s="24" t="s">
        <v>112</v>
      </c>
      <c r="C29" s="12" t="s">
        <v>113</v>
      </c>
      <c r="D29" s="12" t="s">
        <v>24</v>
      </c>
      <c r="E29" s="13" t="s">
        <v>114</v>
      </c>
      <c r="F29" s="22" t="s">
        <v>9</v>
      </c>
      <c r="G29" s="13" t="s">
        <v>0</v>
      </c>
      <c r="H29" s="12" t="s">
        <v>79</v>
      </c>
      <c r="I29" s="11">
        <v>1600</v>
      </c>
      <c r="J29" s="10">
        <v>500</v>
      </c>
      <c r="K29" s="9">
        <v>1100</v>
      </c>
      <c r="L29" s="8">
        <f t="shared" si="0"/>
        <v>0</v>
      </c>
    </row>
    <row r="30" spans="1:12" ht="192" customHeight="1" thickBot="1" x14ac:dyDescent="0.3">
      <c r="A30" s="46" t="s">
        <v>23</v>
      </c>
      <c r="B30" s="24" t="s">
        <v>12</v>
      </c>
      <c r="C30" s="12" t="s">
        <v>6</v>
      </c>
      <c r="D30" s="12" t="s">
        <v>20</v>
      </c>
      <c r="E30" s="13" t="s">
        <v>22</v>
      </c>
      <c r="F30" s="22" t="s">
        <v>4</v>
      </c>
      <c r="G30" s="13" t="s">
        <v>0</v>
      </c>
      <c r="H30" s="12" t="s">
        <v>75</v>
      </c>
      <c r="I30" s="11">
        <v>6000</v>
      </c>
      <c r="J30" s="10">
        <v>1000</v>
      </c>
      <c r="K30" s="9">
        <v>5000</v>
      </c>
      <c r="L30" s="8">
        <f t="shared" si="0"/>
        <v>0</v>
      </c>
    </row>
    <row r="31" spans="1:12" ht="192" customHeight="1" thickBot="1" x14ac:dyDescent="0.3">
      <c r="A31" s="47"/>
      <c r="B31" s="24" t="s">
        <v>21</v>
      </c>
      <c r="C31" s="12" t="s">
        <v>118</v>
      </c>
      <c r="D31" s="12" t="s">
        <v>20</v>
      </c>
      <c r="E31" s="13" t="s">
        <v>119</v>
      </c>
      <c r="F31" s="22" t="s">
        <v>4</v>
      </c>
      <c r="G31" s="13" t="s">
        <v>0</v>
      </c>
      <c r="H31" s="12" t="s">
        <v>79</v>
      </c>
      <c r="I31" s="11">
        <v>3000</v>
      </c>
      <c r="J31" s="10">
        <v>1000</v>
      </c>
      <c r="K31" s="9">
        <v>2000</v>
      </c>
      <c r="L31" s="8">
        <f t="shared" si="0"/>
        <v>0</v>
      </c>
    </row>
    <row r="32" spans="1:12" ht="192" customHeight="1" thickBot="1" x14ac:dyDescent="0.3">
      <c r="A32" s="47"/>
      <c r="B32" s="24" t="s">
        <v>12</v>
      </c>
      <c r="C32" s="12" t="s">
        <v>6</v>
      </c>
      <c r="D32" s="12" t="s">
        <v>20</v>
      </c>
      <c r="E32" s="23" t="s">
        <v>22</v>
      </c>
      <c r="F32" s="22" t="s">
        <v>4</v>
      </c>
      <c r="G32" s="13" t="s">
        <v>0</v>
      </c>
      <c r="H32" s="12" t="s">
        <v>79</v>
      </c>
      <c r="I32" s="11">
        <v>4000</v>
      </c>
      <c r="J32" s="10"/>
      <c r="K32" s="9">
        <v>4000</v>
      </c>
      <c r="L32" s="8">
        <f t="shared" si="0"/>
        <v>0</v>
      </c>
    </row>
    <row r="33" spans="1:12" ht="192" customHeight="1" thickBot="1" x14ac:dyDescent="0.3">
      <c r="A33" s="47"/>
      <c r="B33" s="24" t="s">
        <v>21</v>
      </c>
      <c r="C33" s="12" t="s">
        <v>118</v>
      </c>
      <c r="D33" s="12" t="s">
        <v>20</v>
      </c>
      <c r="E33" s="23" t="s">
        <v>119</v>
      </c>
      <c r="F33" s="22" t="s">
        <v>4</v>
      </c>
      <c r="G33" s="13" t="s">
        <v>0</v>
      </c>
      <c r="H33" s="12" t="s">
        <v>79</v>
      </c>
      <c r="I33" s="11">
        <v>2000</v>
      </c>
      <c r="J33" s="10"/>
      <c r="K33" s="9">
        <v>2000</v>
      </c>
      <c r="L33" s="8">
        <f t="shared" si="0"/>
        <v>0</v>
      </c>
    </row>
    <row r="34" spans="1:12" ht="192" customHeight="1" thickBot="1" x14ac:dyDescent="0.3">
      <c r="A34" s="47"/>
      <c r="B34" s="24" t="s">
        <v>21</v>
      </c>
      <c r="C34" s="12" t="s">
        <v>3</v>
      </c>
      <c r="D34" s="12" t="s">
        <v>20</v>
      </c>
      <c r="E34" s="13" t="s">
        <v>56</v>
      </c>
      <c r="F34" s="22" t="s">
        <v>9</v>
      </c>
      <c r="G34" s="13" t="s">
        <v>0</v>
      </c>
      <c r="H34" s="12" t="s">
        <v>79</v>
      </c>
      <c r="I34" s="11">
        <v>2000</v>
      </c>
      <c r="J34" s="10">
        <v>1000</v>
      </c>
      <c r="K34" s="9">
        <v>1000</v>
      </c>
      <c r="L34" s="8">
        <f t="shared" si="0"/>
        <v>0</v>
      </c>
    </row>
    <row r="35" spans="1:12" ht="192" customHeight="1" thickBot="1" x14ac:dyDescent="0.3">
      <c r="A35" s="48"/>
      <c r="B35" s="24" t="s">
        <v>21</v>
      </c>
      <c r="C35" s="12" t="s">
        <v>3</v>
      </c>
      <c r="D35" s="12" t="s">
        <v>20</v>
      </c>
      <c r="E35" s="13" t="s">
        <v>57</v>
      </c>
      <c r="F35" s="22" t="s">
        <v>9</v>
      </c>
      <c r="G35" s="13" t="s">
        <v>0</v>
      </c>
      <c r="H35" s="12" t="s">
        <v>79</v>
      </c>
      <c r="I35" s="11">
        <v>2000</v>
      </c>
      <c r="J35" s="10"/>
      <c r="K35" s="9">
        <v>2000</v>
      </c>
      <c r="L35" s="8">
        <f t="shared" si="0"/>
        <v>0</v>
      </c>
    </row>
    <row r="36" spans="1:12" ht="192" customHeight="1" thickBot="1" x14ac:dyDescent="0.3">
      <c r="A36" s="46" t="s">
        <v>19</v>
      </c>
      <c r="B36" s="24" t="s">
        <v>7</v>
      </c>
      <c r="C36" s="12" t="s">
        <v>17</v>
      </c>
      <c r="D36" s="12" t="s">
        <v>120</v>
      </c>
      <c r="E36" s="13" t="s">
        <v>121</v>
      </c>
      <c r="F36" s="22" t="s">
        <v>122</v>
      </c>
      <c r="G36" s="13" t="s">
        <v>0</v>
      </c>
      <c r="H36" s="12" t="s">
        <v>79</v>
      </c>
      <c r="I36" s="11">
        <v>2000</v>
      </c>
      <c r="J36" s="10">
        <v>1000</v>
      </c>
      <c r="K36" s="9">
        <v>1000</v>
      </c>
      <c r="L36" s="8">
        <f t="shared" si="0"/>
        <v>0</v>
      </c>
    </row>
    <row r="37" spans="1:12" ht="192" customHeight="1" thickBot="1" x14ac:dyDescent="0.3">
      <c r="A37" s="47"/>
      <c r="B37" s="24" t="s">
        <v>7</v>
      </c>
      <c r="C37" s="12" t="s">
        <v>15</v>
      </c>
      <c r="D37" s="12" t="s">
        <v>14</v>
      </c>
      <c r="E37" s="13" t="s">
        <v>13</v>
      </c>
      <c r="F37" s="22" t="s">
        <v>4</v>
      </c>
      <c r="G37" s="13" t="s">
        <v>8</v>
      </c>
      <c r="H37" s="12" t="s">
        <v>75</v>
      </c>
      <c r="I37" s="11">
        <v>10</v>
      </c>
      <c r="J37" s="10"/>
      <c r="K37" s="9">
        <v>10</v>
      </c>
      <c r="L37" s="8">
        <f t="shared" si="0"/>
        <v>0</v>
      </c>
    </row>
    <row r="38" spans="1:12" ht="192" customHeight="1" thickBot="1" x14ac:dyDescent="0.3">
      <c r="A38" s="47"/>
      <c r="B38" s="24" t="s">
        <v>7</v>
      </c>
      <c r="C38" s="12" t="s">
        <v>15</v>
      </c>
      <c r="D38" s="12" t="s">
        <v>14</v>
      </c>
      <c r="E38" s="13" t="s">
        <v>13</v>
      </c>
      <c r="F38" s="22" t="s">
        <v>4</v>
      </c>
      <c r="G38" s="13" t="s">
        <v>0</v>
      </c>
      <c r="H38" s="12" t="s">
        <v>75</v>
      </c>
      <c r="I38" s="11">
        <v>2000</v>
      </c>
      <c r="J38" s="10">
        <v>1000</v>
      </c>
      <c r="K38" s="9">
        <v>1000</v>
      </c>
      <c r="L38" s="8">
        <f t="shared" si="0"/>
        <v>0</v>
      </c>
    </row>
    <row r="39" spans="1:12" ht="192" customHeight="1" thickBot="1" x14ac:dyDescent="0.3">
      <c r="A39" s="47"/>
      <c r="B39" s="24" t="s">
        <v>12</v>
      </c>
      <c r="C39" s="12" t="s">
        <v>118</v>
      </c>
      <c r="D39" s="12" t="s">
        <v>123</v>
      </c>
      <c r="E39" s="13" t="s">
        <v>124</v>
      </c>
      <c r="F39" s="22" t="s">
        <v>4</v>
      </c>
      <c r="G39" s="13" t="s">
        <v>0</v>
      </c>
      <c r="H39" s="12" t="s">
        <v>79</v>
      </c>
      <c r="I39" s="11">
        <v>2000</v>
      </c>
      <c r="J39" s="10">
        <v>1000</v>
      </c>
      <c r="K39" s="9">
        <v>1000</v>
      </c>
      <c r="L39" s="8">
        <f t="shared" si="0"/>
        <v>0</v>
      </c>
    </row>
    <row r="40" spans="1:12" ht="192" customHeight="1" thickBot="1" x14ac:dyDescent="0.3">
      <c r="A40" s="47"/>
      <c r="B40" s="24" t="s">
        <v>7</v>
      </c>
      <c r="C40" s="12" t="s">
        <v>17</v>
      </c>
      <c r="D40" s="12" t="s">
        <v>120</v>
      </c>
      <c r="E40" s="23" t="s">
        <v>121</v>
      </c>
      <c r="F40" s="22" t="s">
        <v>122</v>
      </c>
      <c r="G40" s="13" t="s">
        <v>0</v>
      </c>
      <c r="H40" s="12" t="s">
        <v>132</v>
      </c>
      <c r="I40" s="11">
        <v>2000</v>
      </c>
      <c r="J40" s="10"/>
      <c r="K40" s="9">
        <v>2000</v>
      </c>
      <c r="L40" s="8">
        <f t="shared" si="0"/>
        <v>0</v>
      </c>
    </row>
    <row r="41" spans="1:12" ht="192" customHeight="1" thickBot="1" x14ac:dyDescent="0.3">
      <c r="A41" s="47"/>
      <c r="B41" s="24" t="s">
        <v>7</v>
      </c>
      <c r="C41" s="12" t="s">
        <v>133</v>
      </c>
      <c r="D41" s="12" t="s">
        <v>14</v>
      </c>
      <c r="E41" s="23" t="s">
        <v>134</v>
      </c>
      <c r="F41" s="22" t="s">
        <v>9</v>
      </c>
      <c r="G41" s="13" t="s">
        <v>0</v>
      </c>
      <c r="H41" s="12" t="s">
        <v>79</v>
      </c>
      <c r="I41" s="11">
        <v>35</v>
      </c>
      <c r="J41" s="10"/>
      <c r="K41" s="9">
        <v>35</v>
      </c>
      <c r="L41" s="8">
        <f t="shared" si="0"/>
        <v>0</v>
      </c>
    </row>
    <row r="42" spans="1:12" ht="192" customHeight="1" thickBot="1" x14ac:dyDescent="0.3">
      <c r="A42" s="47"/>
      <c r="B42" s="24" t="s">
        <v>7</v>
      </c>
      <c r="C42" s="12" t="s">
        <v>15</v>
      </c>
      <c r="D42" s="12" t="s">
        <v>14</v>
      </c>
      <c r="E42" s="23" t="s">
        <v>13</v>
      </c>
      <c r="F42" s="22" t="s">
        <v>4</v>
      </c>
      <c r="G42" s="13" t="s">
        <v>0</v>
      </c>
      <c r="H42" s="12" t="s">
        <v>79</v>
      </c>
      <c r="I42" s="11">
        <v>1830</v>
      </c>
      <c r="J42" s="10"/>
      <c r="K42" s="9">
        <v>1830</v>
      </c>
      <c r="L42" s="8">
        <f t="shared" si="0"/>
        <v>0</v>
      </c>
    </row>
    <row r="43" spans="1:12" ht="192" customHeight="1" thickBot="1" x14ac:dyDescent="0.3">
      <c r="A43" s="47"/>
      <c r="B43" s="24" t="s">
        <v>7</v>
      </c>
      <c r="C43" s="12" t="s">
        <v>15</v>
      </c>
      <c r="D43" s="12" t="s">
        <v>14</v>
      </c>
      <c r="E43" s="23" t="s">
        <v>65</v>
      </c>
      <c r="F43" s="22" t="s">
        <v>4</v>
      </c>
      <c r="G43" s="13" t="s">
        <v>0</v>
      </c>
      <c r="H43" s="12" t="s">
        <v>79</v>
      </c>
      <c r="I43" s="11">
        <v>1839</v>
      </c>
      <c r="J43" s="10"/>
      <c r="K43" s="9">
        <v>1839</v>
      </c>
      <c r="L43" s="8">
        <f t="shared" si="0"/>
        <v>0</v>
      </c>
    </row>
    <row r="44" spans="1:12" ht="192" customHeight="1" thickBot="1" x14ac:dyDescent="0.3">
      <c r="A44" s="47"/>
      <c r="B44" s="24" t="s">
        <v>12</v>
      </c>
      <c r="C44" s="12" t="s">
        <v>118</v>
      </c>
      <c r="D44" s="12" t="s">
        <v>123</v>
      </c>
      <c r="E44" s="23" t="s">
        <v>124</v>
      </c>
      <c r="F44" s="22" t="s">
        <v>4</v>
      </c>
      <c r="G44" s="13" t="s">
        <v>0</v>
      </c>
      <c r="H44" s="12" t="s">
        <v>79</v>
      </c>
      <c r="I44" s="11">
        <v>1281</v>
      </c>
      <c r="J44" s="10"/>
      <c r="K44" s="9">
        <v>1281</v>
      </c>
      <c r="L44" s="8">
        <f t="shared" si="0"/>
        <v>0</v>
      </c>
    </row>
    <row r="45" spans="1:12" ht="192" customHeight="1" thickBot="1" x14ac:dyDescent="0.3">
      <c r="A45" s="47"/>
      <c r="B45" s="24" t="s">
        <v>12</v>
      </c>
      <c r="C45" s="12" t="s">
        <v>3</v>
      </c>
      <c r="D45" s="12" t="s">
        <v>11</v>
      </c>
      <c r="E45" s="23" t="s">
        <v>10</v>
      </c>
      <c r="F45" s="22" t="s">
        <v>4</v>
      </c>
      <c r="G45" s="13" t="s">
        <v>0</v>
      </c>
      <c r="H45" s="12" t="s">
        <v>79</v>
      </c>
      <c r="I45" s="11">
        <v>2409</v>
      </c>
      <c r="J45" s="10"/>
      <c r="K45" s="9">
        <v>2409</v>
      </c>
      <c r="L45" s="8">
        <f t="shared" si="0"/>
        <v>0</v>
      </c>
    </row>
    <row r="46" spans="1:12" ht="192" customHeight="1" thickBot="1" x14ac:dyDescent="0.3">
      <c r="A46" s="47"/>
      <c r="B46" s="24" t="s">
        <v>12</v>
      </c>
      <c r="C46" s="12" t="s">
        <v>3</v>
      </c>
      <c r="D46" s="12" t="s">
        <v>11</v>
      </c>
      <c r="E46" s="13" t="s">
        <v>10</v>
      </c>
      <c r="F46" s="22" t="s">
        <v>9</v>
      </c>
      <c r="G46" s="13" t="s">
        <v>0</v>
      </c>
      <c r="H46" s="12" t="s">
        <v>79</v>
      </c>
      <c r="I46" s="11">
        <v>7600</v>
      </c>
      <c r="J46" s="10"/>
      <c r="K46" s="9">
        <f>3000+4600</f>
        <v>7600</v>
      </c>
      <c r="L46" s="8">
        <f t="shared" si="0"/>
        <v>0</v>
      </c>
    </row>
    <row r="47" spans="1:12" ht="192" customHeight="1" thickBot="1" x14ac:dyDescent="0.3">
      <c r="A47" s="47"/>
      <c r="B47" s="24" t="s">
        <v>12</v>
      </c>
      <c r="C47" s="12" t="s">
        <v>3</v>
      </c>
      <c r="D47" s="12" t="s">
        <v>11</v>
      </c>
      <c r="E47" s="13" t="s">
        <v>10</v>
      </c>
      <c r="F47" s="22" t="s">
        <v>4</v>
      </c>
      <c r="G47" s="13" t="s">
        <v>0</v>
      </c>
      <c r="H47" s="12" t="s">
        <v>79</v>
      </c>
      <c r="I47" s="11">
        <v>3000</v>
      </c>
      <c r="J47" s="10">
        <v>3000</v>
      </c>
      <c r="K47" s="9"/>
      <c r="L47" s="8">
        <f t="shared" si="0"/>
        <v>0</v>
      </c>
    </row>
    <row r="48" spans="1:12" ht="192" customHeight="1" thickBot="1" x14ac:dyDescent="0.3">
      <c r="A48" s="48"/>
      <c r="B48" s="24" t="s">
        <v>7</v>
      </c>
      <c r="C48" s="12" t="s">
        <v>6</v>
      </c>
      <c r="D48" s="12" t="s">
        <v>1</v>
      </c>
      <c r="E48" s="13" t="s">
        <v>5</v>
      </c>
      <c r="F48" s="22" t="s">
        <v>4</v>
      </c>
      <c r="G48" s="13" t="s">
        <v>0</v>
      </c>
      <c r="H48" s="12" t="s">
        <v>79</v>
      </c>
      <c r="I48" s="11">
        <v>3000</v>
      </c>
      <c r="J48" s="10">
        <v>1000</v>
      </c>
      <c r="K48" s="9">
        <v>2000</v>
      </c>
      <c r="L48" s="8">
        <f t="shared" si="0"/>
        <v>0</v>
      </c>
    </row>
    <row r="49" spans="11:11" x14ac:dyDescent="0.25">
      <c r="K49" s="3" t="s">
        <v>129</v>
      </c>
    </row>
  </sheetData>
  <autoFilter ref="A2:L49"/>
  <dataConsolidate/>
  <mergeCells count="5">
    <mergeCell ref="A30:A35"/>
    <mergeCell ref="A36:A48"/>
    <mergeCell ref="A1:L1"/>
    <mergeCell ref="A3:A15"/>
    <mergeCell ref="A16:A29"/>
  </mergeCells>
  <conditionalFormatting sqref="I2:I48 K3:L48">
    <cfRule type="cellIs" dxfId="174" priority="2" operator="lessThan">
      <formula>0</formula>
    </cfRule>
  </conditionalFormatting>
  <conditionalFormatting sqref="L2">
    <cfRule type="cellIs" dxfId="173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16"/>
  <sheetViews>
    <sheetView showGridLines="0" view="pageBreakPreview" zoomScale="20" zoomScaleNormal="27" zoomScaleSheetLayoutView="20" workbookViewId="0">
      <selection activeCell="K5" sqref="K5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135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132</v>
      </c>
      <c r="I3" s="11">
        <v>2108</v>
      </c>
      <c r="J3" s="10">
        <v>1000</v>
      </c>
      <c r="K3" s="9">
        <v>1108</v>
      </c>
      <c r="L3" s="8">
        <f t="shared" ref="L3:L62" si="0">K3+J3-I3</f>
        <v>0</v>
      </c>
    </row>
    <row r="4" spans="1:12" ht="150.75" customHeight="1" thickBot="1" x14ac:dyDescent="0.3">
      <c r="A4" s="47"/>
      <c r="B4" s="13" t="s">
        <v>66</v>
      </c>
      <c r="C4" s="12" t="s">
        <v>69</v>
      </c>
      <c r="D4" s="12" t="s">
        <v>24</v>
      </c>
      <c r="E4" s="13" t="s">
        <v>72</v>
      </c>
      <c r="F4" s="22" t="s">
        <v>4</v>
      </c>
      <c r="G4" s="13" t="s">
        <v>37</v>
      </c>
      <c r="H4" s="12" t="s">
        <v>132</v>
      </c>
      <c r="I4" s="11">
        <v>1000</v>
      </c>
      <c r="J4" s="10">
        <v>500</v>
      </c>
      <c r="K4" s="9">
        <v>500</v>
      </c>
      <c r="L4" s="8">
        <f t="shared" si="0"/>
        <v>0</v>
      </c>
    </row>
    <row r="5" spans="1:12" ht="150.75" customHeight="1" thickBot="1" x14ac:dyDescent="0.3">
      <c r="A5" s="47"/>
      <c r="B5" s="13" t="s">
        <v>66</v>
      </c>
      <c r="C5" s="12" t="s">
        <v>69</v>
      </c>
      <c r="D5" s="12" t="s">
        <v>24</v>
      </c>
      <c r="E5" s="13" t="s">
        <v>72</v>
      </c>
      <c r="F5" s="22" t="s">
        <v>4</v>
      </c>
      <c r="G5" s="13" t="s">
        <v>37</v>
      </c>
      <c r="H5" s="12" t="s">
        <v>132</v>
      </c>
      <c r="I5" s="11">
        <v>1000</v>
      </c>
      <c r="J5" s="10"/>
      <c r="K5" s="9">
        <v>1000</v>
      </c>
      <c r="L5" s="8">
        <f t="shared" si="0"/>
        <v>0</v>
      </c>
    </row>
    <row r="6" spans="1:12" ht="150.75" customHeight="1" thickBot="1" x14ac:dyDescent="0.3">
      <c r="A6" s="47"/>
      <c r="B6" s="13" t="s">
        <v>35</v>
      </c>
      <c r="C6" s="12" t="s">
        <v>26</v>
      </c>
      <c r="D6" s="12" t="s">
        <v>24</v>
      </c>
      <c r="E6" s="13" t="s">
        <v>25</v>
      </c>
      <c r="F6" s="22" t="s">
        <v>4</v>
      </c>
      <c r="G6" s="13" t="s">
        <v>0</v>
      </c>
      <c r="H6" s="12" t="s">
        <v>79</v>
      </c>
      <c r="I6" s="11">
        <v>2000</v>
      </c>
      <c r="J6" s="10"/>
      <c r="K6" s="9">
        <v>2000</v>
      </c>
      <c r="L6" s="8">
        <f t="shared" si="0"/>
        <v>0</v>
      </c>
    </row>
    <row r="7" spans="1:12" ht="150.75" customHeight="1" thickBot="1" x14ac:dyDescent="0.3">
      <c r="A7" s="47"/>
      <c r="B7" s="13" t="s">
        <v>35</v>
      </c>
      <c r="C7" s="12" t="s">
        <v>26</v>
      </c>
      <c r="D7" s="12" t="s">
        <v>24</v>
      </c>
      <c r="E7" s="13" t="s">
        <v>59</v>
      </c>
      <c r="F7" s="22" t="s">
        <v>4</v>
      </c>
      <c r="G7" s="13" t="s">
        <v>0</v>
      </c>
      <c r="H7" s="12" t="s">
        <v>79</v>
      </c>
      <c r="I7" s="11">
        <v>700</v>
      </c>
      <c r="J7" s="10"/>
      <c r="K7" s="9">
        <v>700</v>
      </c>
      <c r="L7" s="8">
        <f t="shared" si="0"/>
        <v>0</v>
      </c>
    </row>
    <row r="8" spans="1:12" ht="150.75" customHeight="1" thickBot="1" x14ac:dyDescent="0.3">
      <c r="A8" s="47"/>
      <c r="B8" s="13" t="s">
        <v>28</v>
      </c>
      <c r="C8" s="12" t="s">
        <v>34</v>
      </c>
      <c r="D8" s="12" t="s">
        <v>24</v>
      </c>
      <c r="E8" s="13" t="s">
        <v>33</v>
      </c>
      <c r="F8" s="22" t="s">
        <v>4</v>
      </c>
      <c r="G8" s="13" t="s">
        <v>0</v>
      </c>
      <c r="H8" s="12" t="s">
        <v>79</v>
      </c>
      <c r="I8" s="35">
        <v>2620</v>
      </c>
      <c r="J8" s="10">
        <v>1000</v>
      </c>
      <c r="K8" s="9">
        <v>1620</v>
      </c>
      <c r="L8" s="8">
        <f t="shared" si="0"/>
        <v>0</v>
      </c>
    </row>
    <row r="9" spans="1:12" ht="150.75" customHeight="1" thickBot="1" x14ac:dyDescent="0.3">
      <c r="A9" s="47"/>
      <c r="B9" s="13" t="s">
        <v>66</v>
      </c>
      <c r="C9" s="12" t="s">
        <v>62</v>
      </c>
      <c r="D9" s="12" t="s">
        <v>24</v>
      </c>
      <c r="E9" s="13" t="s">
        <v>117</v>
      </c>
      <c r="F9" s="22" t="s">
        <v>4</v>
      </c>
      <c r="G9" s="13" t="s">
        <v>0</v>
      </c>
      <c r="H9" s="12" t="s">
        <v>79</v>
      </c>
      <c r="I9" s="11">
        <v>500</v>
      </c>
      <c r="J9" s="10"/>
      <c r="K9" s="9">
        <v>500</v>
      </c>
      <c r="L9" s="8">
        <f t="shared" si="0"/>
        <v>0</v>
      </c>
    </row>
    <row r="10" spans="1:12" ht="150.75" customHeight="1" thickBot="1" x14ac:dyDescent="0.3">
      <c r="A10" s="47"/>
      <c r="B10" s="13" t="s">
        <v>66</v>
      </c>
      <c r="C10" s="12" t="s">
        <v>62</v>
      </c>
      <c r="D10" s="12" t="s">
        <v>24</v>
      </c>
      <c r="E10" s="13" t="s">
        <v>117</v>
      </c>
      <c r="F10" s="22" t="s">
        <v>4</v>
      </c>
      <c r="G10" s="13" t="s">
        <v>0</v>
      </c>
      <c r="H10" s="12" t="s">
        <v>132</v>
      </c>
      <c r="I10" s="11">
        <v>780</v>
      </c>
      <c r="J10" s="10"/>
      <c r="K10" s="9">
        <v>780</v>
      </c>
      <c r="L10" s="8">
        <f t="shared" si="0"/>
        <v>0</v>
      </c>
    </row>
    <row r="11" spans="1:12" ht="150.75" customHeight="1" thickBot="1" x14ac:dyDescent="0.3">
      <c r="A11" s="47"/>
      <c r="B11" s="13" t="s">
        <v>95</v>
      </c>
      <c r="C11" s="12" t="s">
        <v>15</v>
      </c>
      <c r="D11" s="12" t="s">
        <v>24</v>
      </c>
      <c r="E11" s="13" t="s">
        <v>96</v>
      </c>
      <c r="F11" s="22" t="s">
        <v>4</v>
      </c>
      <c r="G11" s="13" t="s">
        <v>0</v>
      </c>
      <c r="H11" s="12" t="s">
        <v>79</v>
      </c>
      <c r="I11" s="11">
        <v>1342</v>
      </c>
      <c r="J11" s="10">
        <v>1000</v>
      </c>
      <c r="K11" s="9">
        <v>342</v>
      </c>
      <c r="L11" s="8">
        <f t="shared" si="0"/>
        <v>0</v>
      </c>
    </row>
    <row r="12" spans="1:12" ht="150.75" customHeight="1" thickBot="1" x14ac:dyDescent="0.3">
      <c r="A12" s="47"/>
      <c r="B12" s="13" t="s">
        <v>38</v>
      </c>
      <c r="C12" s="12" t="s">
        <v>27</v>
      </c>
      <c r="D12" s="12" t="s">
        <v>24</v>
      </c>
      <c r="E12" s="13" t="s">
        <v>76</v>
      </c>
      <c r="F12" s="22" t="s">
        <v>4</v>
      </c>
      <c r="G12" s="13" t="s">
        <v>0</v>
      </c>
      <c r="H12" s="12" t="s">
        <v>79</v>
      </c>
      <c r="I12" s="11">
        <v>1670</v>
      </c>
      <c r="J12" s="10"/>
      <c r="K12" s="9">
        <v>1670</v>
      </c>
      <c r="L12" s="8">
        <f t="shared" si="0"/>
        <v>0</v>
      </c>
    </row>
    <row r="13" spans="1:12" ht="150.75" customHeight="1" thickBot="1" x14ac:dyDescent="0.3">
      <c r="A13" s="47"/>
      <c r="B13" s="13" t="s">
        <v>38</v>
      </c>
      <c r="C13" s="12" t="s">
        <v>27</v>
      </c>
      <c r="D13" s="12" t="s">
        <v>24</v>
      </c>
      <c r="E13" s="13" t="s">
        <v>111</v>
      </c>
      <c r="F13" s="22" t="s">
        <v>4</v>
      </c>
      <c r="G13" s="13" t="s">
        <v>0</v>
      </c>
      <c r="H13" s="12" t="s">
        <v>79</v>
      </c>
      <c r="I13" s="11">
        <v>2188</v>
      </c>
      <c r="J13" s="10"/>
      <c r="K13" s="9">
        <v>2188</v>
      </c>
      <c r="L13" s="8">
        <f t="shared" si="0"/>
        <v>0</v>
      </c>
    </row>
    <row r="14" spans="1:12" ht="150.75" customHeight="1" thickBot="1" x14ac:dyDescent="0.3">
      <c r="A14" s="47"/>
      <c r="B14" s="13" t="s">
        <v>32</v>
      </c>
      <c r="C14" s="12" t="s">
        <v>31</v>
      </c>
      <c r="D14" s="12" t="s">
        <v>24</v>
      </c>
      <c r="E14" s="13" t="s">
        <v>138</v>
      </c>
      <c r="F14" s="22" t="s">
        <v>4</v>
      </c>
      <c r="G14" s="13" t="s">
        <v>0</v>
      </c>
      <c r="H14" s="12" t="s">
        <v>79</v>
      </c>
      <c r="I14" s="11">
        <v>540</v>
      </c>
      <c r="J14" s="10"/>
      <c r="K14" s="9">
        <v>540</v>
      </c>
      <c r="L14" s="8">
        <f t="shared" si="0"/>
        <v>0</v>
      </c>
    </row>
    <row r="15" spans="1:12" ht="150.75" customHeight="1" thickBot="1" x14ac:dyDescent="0.3">
      <c r="A15" s="48"/>
      <c r="B15" s="13" t="s">
        <v>32</v>
      </c>
      <c r="C15" s="12" t="s">
        <v>31</v>
      </c>
      <c r="D15" s="12" t="s">
        <v>24</v>
      </c>
      <c r="E15" s="13" t="s">
        <v>78</v>
      </c>
      <c r="F15" s="22" t="s">
        <v>4</v>
      </c>
      <c r="G15" s="13" t="s">
        <v>0</v>
      </c>
      <c r="H15" s="12" t="s">
        <v>79</v>
      </c>
      <c r="I15" s="11">
        <v>2316</v>
      </c>
      <c r="J15" s="10"/>
      <c r="K15" s="9">
        <v>2316</v>
      </c>
      <c r="L15" s="8">
        <f t="shared" si="0"/>
        <v>0</v>
      </c>
    </row>
    <row r="16" spans="1:12" ht="150.75" customHeight="1" thickBot="1" x14ac:dyDescent="0.3">
      <c r="A16" s="46" t="s">
        <v>36</v>
      </c>
      <c r="B16" s="13" t="s">
        <v>66</v>
      </c>
      <c r="C16" s="12" t="s">
        <v>62</v>
      </c>
      <c r="D16" s="12" t="s">
        <v>24</v>
      </c>
      <c r="E16" s="13" t="s">
        <v>63</v>
      </c>
      <c r="F16" s="22" t="s">
        <v>4</v>
      </c>
      <c r="G16" s="13" t="s">
        <v>0</v>
      </c>
      <c r="H16" s="12" t="s">
        <v>79</v>
      </c>
      <c r="I16" s="11">
        <v>567</v>
      </c>
      <c r="J16" s="10"/>
      <c r="K16" s="9">
        <v>567</v>
      </c>
      <c r="L16" s="8">
        <f t="shared" si="0"/>
        <v>0</v>
      </c>
    </row>
    <row r="17" spans="1:12" ht="150.75" customHeight="1" thickBot="1" x14ac:dyDescent="0.3">
      <c r="A17" s="47"/>
      <c r="B17" s="13" t="s">
        <v>66</v>
      </c>
      <c r="C17" s="12" t="s">
        <v>62</v>
      </c>
      <c r="D17" s="12" t="s">
        <v>24</v>
      </c>
      <c r="E17" s="13" t="s">
        <v>117</v>
      </c>
      <c r="F17" s="22" t="s">
        <v>4</v>
      </c>
      <c r="G17" s="13" t="s">
        <v>0</v>
      </c>
      <c r="H17" s="12" t="s">
        <v>79</v>
      </c>
      <c r="I17" s="11">
        <v>500</v>
      </c>
      <c r="J17" s="10"/>
      <c r="K17" s="9">
        <v>500</v>
      </c>
      <c r="L17" s="8">
        <f t="shared" si="0"/>
        <v>0</v>
      </c>
    </row>
    <row r="18" spans="1:12" ht="150.75" customHeight="1" thickBot="1" x14ac:dyDescent="0.3">
      <c r="A18" s="47"/>
      <c r="B18" s="13" t="s">
        <v>28</v>
      </c>
      <c r="C18" s="12" t="s">
        <v>34</v>
      </c>
      <c r="D18" s="12" t="s">
        <v>24</v>
      </c>
      <c r="E18" s="13" t="s">
        <v>33</v>
      </c>
      <c r="F18" s="22" t="s">
        <v>4</v>
      </c>
      <c r="G18" s="13" t="s">
        <v>0</v>
      </c>
      <c r="H18" s="12" t="s">
        <v>79</v>
      </c>
      <c r="I18" s="11">
        <v>2000</v>
      </c>
      <c r="J18" s="10"/>
      <c r="K18" s="9">
        <v>2000</v>
      </c>
      <c r="L18" s="8">
        <f t="shared" si="0"/>
        <v>0</v>
      </c>
    </row>
    <row r="19" spans="1:12" ht="150.75" customHeight="1" thickBot="1" x14ac:dyDescent="0.3">
      <c r="A19" s="47"/>
      <c r="B19" s="24" t="s">
        <v>61</v>
      </c>
      <c r="C19" s="12" t="s">
        <v>31</v>
      </c>
      <c r="D19" s="12" t="s">
        <v>24</v>
      </c>
      <c r="E19" s="13" t="s">
        <v>78</v>
      </c>
      <c r="F19" s="22" t="s">
        <v>4</v>
      </c>
      <c r="G19" s="13" t="s">
        <v>0</v>
      </c>
      <c r="H19" s="12" t="s">
        <v>79</v>
      </c>
      <c r="I19" s="11">
        <v>2316</v>
      </c>
      <c r="J19" s="10"/>
      <c r="K19" s="9">
        <v>2316</v>
      </c>
      <c r="L19" s="8">
        <f t="shared" si="0"/>
        <v>0</v>
      </c>
    </row>
    <row r="20" spans="1:12" ht="150.75" customHeight="1" thickBot="1" x14ac:dyDescent="0.3">
      <c r="A20" s="47"/>
      <c r="B20" s="24" t="s">
        <v>61</v>
      </c>
      <c r="C20" s="12" t="s">
        <v>31</v>
      </c>
      <c r="D20" s="12" t="s">
        <v>24</v>
      </c>
      <c r="E20" s="13" t="s">
        <v>138</v>
      </c>
      <c r="F20" s="22" t="s">
        <v>4</v>
      </c>
      <c r="G20" s="13" t="s">
        <v>0</v>
      </c>
      <c r="H20" s="12" t="s">
        <v>79</v>
      </c>
      <c r="I20" s="11">
        <v>540</v>
      </c>
      <c r="J20" s="10"/>
      <c r="K20" s="9">
        <v>540</v>
      </c>
      <c r="L20" s="8">
        <f t="shared" si="0"/>
        <v>0</v>
      </c>
    </row>
    <row r="21" spans="1:12" ht="150.75" customHeight="1" thickBot="1" x14ac:dyDescent="0.3">
      <c r="A21" s="47"/>
      <c r="B21" s="24" t="s">
        <v>32</v>
      </c>
      <c r="C21" s="12" t="s">
        <v>31</v>
      </c>
      <c r="D21" s="12" t="s">
        <v>24</v>
      </c>
      <c r="E21" s="13" t="s">
        <v>116</v>
      </c>
      <c r="F21" s="22" t="s">
        <v>9</v>
      </c>
      <c r="G21" s="13" t="s">
        <v>0</v>
      </c>
      <c r="H21" s="12" t="s">
        <v>79</v>
      </c>
      <c r="I21" s="11">
        <v>2000</v>
      </c>
      <c r="J21" s="10"/>
      <c r="K21" s="9">
        <v>2000</v>
      </c>
      <c r="L21" s="8">
        <f t="shared" si="0"/>
        <v>0</v>
      </c>
    </row>
    <row r="22" spans="1:12" ht="150.75" customHeight="1" thickBot="1" x14ac:dyDescent="0.3">
      <c r="A22" s="47"/>
      <c r="B22" s="24" t="s">
        <v>32</v>
      </c>
      <c r="C22" s="12" t="s">
        <v>31</v>
      </c>
      <c r="D22" s="12" t="s">
        <v>24</v>
      </c>
      <c r="E22" s="13" t="s">
        <v>78</v>
      </c>
      <c r="F22" s="22" t="s">
        <v>4</v>
      </c>
      <c r="G22" s="13" t="s">
        <v>0</v>
      </c>
      <c r="H22" s="12" t="s">
        <v>79</v>
      </c>
      <c r="I22" s="11">
        <v>3000</v>
      </c>
      <c r="J22" s="10"/>
      <c r="K22" s="9">
        <v>3000</v>
      </c>
      <c r="L22" s="8">
        <f t="shared" si="0"/>
        <v>0</v>
      </c>
    </row>
    <row r="23" spans="1:12" ht="150.75" customHeight="1" thickBot="1" x14ac:dyDescent="0.3">
      <c r="A23" s="47"/>
      <c r="B23" s="24" t="s">
        <v>77</v>
      </c>
      <c r="C23" s="12" t="s">
        <v>27</v>
      </c>
      <c r="D23" s="12" t="s">
        <v>24</v>
      </c>
      <c r="E23" s="13" t="s">
        <v>111</v>
      </c>
      <c r="F23" s="22" t="s">
        <v>4</v>
      </c>
      <c r="G23" s="13" t="s">
        <v>0</v>
      </c>
      <c r="H23" s="12" t="s">
        <v>79</v>
      </c>
      <c r="I23" s="11">
        <v>3000</v>
      </c>
      <c r="J23" s="10"/>
      <c r="K23" s="9">
        <v>3000</v>
      </c>
      <c r="L23" s="8">
        <f t="shared" si="0"/>
        <v>0</v>
      </c>
    </row>
    <row r="24" spans="1:12" ht="150.75" customHeight="1" thickBot="1" x14ac:dyDescent="0.3">
      <c r="A24" s="47"/>
      <c r="B24" s="24" t="s">
        <v>35</v>
      </c>
      <c r="C24" s="12" t="s">
        <v>26</v>
      </c>
      <c r="D24" s="12" t="s">
        <v>24</v>
      </c>
      <c r="E24" s="13" t="s">
        <v>59</v>
      </c>
      <c r="F24" s="22" t="s">
        <v>4</v>
      </c>
      <c r="G24" s="13" t="s">
        <v>0</v>
      </c>
      <c r="H24" s="12" t="s">
        <v>79</v>
      </c>
      <c r="I24" s="11">
        <v>1000</v>
      </c>
      <c r="J24" s="10"/>
      <c r="K24" s="9">
        <v>1000</v>
      </c>
      <c r="L24" s="8">
        <f t="shared" si="0"/>
        <v>0</v>
      </c>
    </row>
    <row r="25" spans="1:12" ht="150.75" customHeight="1" thickBot="1" x14ac:dyDescent="0.3">
      <c r="A25" s="47"/>
      <c r="B25" s="24" t="s">
        <v>40</v>
      </c>
      <c r="C25" s="12" t="s">
        <v>15</v>
      </c>
      <c r="D25" s="12" t="s">
        <v>24</v>
      </c>
      <c r="E25" s="13" t="s">
        <v>96</v>
      </c>
      <c r="F25" s="22" t="s">
        <v>4</v>
      </c>
      <c r="G25" s="13" t="s">
        <v>0</v>
      </c>
      <c r="H25" s="12" t="s">
        <v>79</v>
      </c>
      <c r="I25" s="11">
        <v>1000</v>
      </c>
      <c r="J25" s="10">
        <v>1000</v>
      </c>
      <c r="K25" s="9"/>
      <c r="L25" s="8">
        <f t="shared" si="0"/>
        <v>0</v>
      </c>
    </row>
    <row r="26" spans="1:12" ht="150.75" customHeight="1" thickBot="1" x14ac:dyDescent="0.3">
      <c r="A26" s="47"/>
      <c r="B26" s="24" t="s">
        <v>38</v>
      </c>
      <c r="C26" s="12" t="s">
        <v>27</v>
      </c>
      <c r="D26" s="12" t="s">
        <v>24</v>
      </c>
      <c r="E26" s="13" t="s">
        <v>111</v>
      </c>
      <c r="F26" s="22" t="s">
        <v>4</v>
      </c>
      <c r="G26" s="13" t="s">
        <v>0</v>
      </c>
      <c r="H26" s="12" t="s">
        <v>79</v>
      </c>
      <c r="I26" s="11">
        <v>3000</v>
      </c>
      <c r="J26" s="10"/>
      <c r="K26" s="9">
        <v>3000</v>
      </c>
      <c r="L26" s="8">
        <f t="shared" si="0"/>
        <v>0</v>
      </c>
    </row>
    <row r="27" spans="1:12" ht="150.75" customHeight="1" thickBot="1" x14ac:dyDescent="0.3">
      <c r="A27" s="47"/>
      <c r="B27" s="24" t="s">
        <v>77</v>
      </c>
      <c r="C27" s="12" t="s">
        <v>27</v>
      </c>
      <c r="D27" s="12" t="s">
        <v>24</v>
      </c>
      <c r="E27" s="13" t="s">
        <v>111</v>
      </c>
      <c r="F27" s="22" t="s">
        <v>4</v>
      </c>
      <c r="G27" s="13" t="s">
        <v>0</v>
      </c>
      <c r="H27" s="12" t="s">
        <v>79</v>
      </c>
      <c r="I27" s="11">
        <v>1000</v>
      </c>
      <c r="J27" s="10">
        <v>1000</v>
      </c>
      <c r="K27" s="9"/>
      <c r="L27" s="8">
        <f t="shared" si="0"/>
        <v>0</v>
      </c>
    </row>
    <row r="28" spans="1:12" ht="150.75" customHeight="1" thickBot="1" x14ac:dyDescent="0.3">
      <c r="A28" s="48"/>
      <c r="B28" s="24" t="s">
        <v>112</v>
      </c>
      <c r="C28" s="12" t="s">
        <v>113</v>
      </c>
      <c r="D28" s="12" t="s">
        <v>24</v>
      </c>
      <c r="E28" s="13" t="s">
        <v>115</v>
      </c>
      <c r="F28" s="22" t="s">
        <v>9</v>
      </c>
      <c r="G28" s="13" t="s">
        <v>0</v>
      </c>
      <c r="H28" s="12" t="s">
        <v>79</v>
      </c>
      <c r="I28" s="11">
        <v>1500</v>
      </c>
      <c r="J28" s="10"/>
      <c r="K28" s="9">
        <v>1500</v>
      </c>
      <c r="L28" s="8">
        <f t="shared" si="0"/>
        <v>0</v>
      </c>
    </row>
    <row r="29" spans="1:12" ht="150.75" customHeight="1" thickBot="1" x14ac:dyDescent="0.3">
      <c r="A29" s="46" t="s">
        <v>23</v>
      </c>
      <c r="B29" s="24" t="s">
        <v>12</v>
      </c>
      <c r="C29" s="12" t="s">
        <v>6</v>
      </c>
      <c r="D29" s="12" t="s">
        <v>20</v>
      </c>
      <c r="E29" s="13" t="s">
        <v>22</v>
      </c>
      <c r="F29" s="22" t="s">
        <v>4</v>
      </c>
      <c r="G29" s="13" t="s">
        <v>0</v>
      </c>
      <c r="H29" s="12" t="s">
        <v>79</v>
      </c>
      <c r="I29" s="11">
        <v>3303</v>
      </c>
      <c r="J29" s="10">
        <v>1000</v>
      </c>
      <c r="K29" s="9">
        <v>2303</v>
      </c>
      <c r="L29" s="8">
        <f t="shared" si="0"/>
        <v>0</v>
      </c>
    </row>
    <row r="30" spans="1:12" ht="150.75" customHeight="1" thickBot="1" x14ac:dyDescent="0.3">
      <c r="A30" s="47"/>
      <c r="B30" s="24" t="s">
        <v>12</v>
      </c>
      <c r="C30" s="12" t="s">
        <v>6</v>
      </c>
      <c r="D30" s="12" t="s">
        <v>20</v>
      </c>
      <c r="E30" s="13" t="s">
        <v>22</v>
      </c>
      <c r="F30" s="22" t="s">
        <v>4</v>
      </c>
      <c r="G30" s="13" t="s">
        <v>0</v>
      </c>
      <c r="H30" s="12" t="s">
        <v>79</v>
      </c>
      <c r="I30" s="11">
        <v>3000</v>
      </c>
      <c r="J30" s="10"/>
      <c r="K30" s="9">
        <v>3000</v>
      </c>
      <c r="L30" s="8">
        <f t="shared" si="0"/>
        <v>0</v>
      </c>
    </row>
    <row r="31" spans="1:12" ht="150.75" customHeight="1" thickBot="1" x14ac:dyDescent="0.3">
      <c r="A31" s="47"/>
      <c r="B31" s="24" t="s">
        <v>21</v>
      </c>
      <c r="C31" s="12" t="s">
        <v>118</v>
      </c>
      <c r="D31" s="12" t="s">
        <v>20</v>
      </c>
      <c r="E31" s="13" t="s">
        <v>119</v>
      </c>
      <c r="F31" s="22" t="s">
        <v>4</v>
      </c>
      <c r="G31" s="13" t="s">
        <v>0</v>
      </c>
      <c r="H31" s="12" t="s">
        <v>79</v>
      </c>
      <c r="I31" s="11">
        <v>1261</v>
      </c>
      <c r="J31" s="10"/>
      <c r="K31" s="9">
        <v>1261</v>
      </c>
      <c r="L31" s="8">
        <f t="shared" si="0"/>
        <v>0</v>
      </c>
    </row>
    <row r="32" spans="1:12" ht="150.75" customHeight="1" thickBot="1" x14ac:dyDescent="0.3">
      <c r="A32" s="47"/>
      <c r="B32" s="24" t="s">
        <v>21</v>
      </c>
      <c r="C32" s="12" t="s">
        <v>118</v>
      </c>
      <c r="D32" s="12" t="s">
        <v>20</v>
      </c>
      <c r="E32" s="13" t="s">
        <v>119</v>
      </c>
      <c r="F32" s="22" t="s">
        <v>9</v>
      </c>
      <c r="G32" s="13" t="s">
        <v>0</v>
      </c>
      <c r="H32" s="12" t="s">
        <v>132</v>
      </c>
      <c r="I32" s="11">
        <v>750</v>
      </c>
      <c r="J32" s="10"/>
      <c r="K32" s="9">
        <v>750</v>
      </c>
      <c r="L32" s="8">
        <f t="shared" si="0"/>
        <v>0</v>
      </c>
    </row>
    <row r="33" spans="1:12" ht="150.75" customHeight="1" thickBot="1" x14ac:dyDescent="0.3">
      <c r="A33" s="47"/>
      <c r="B33" s="24" t="s">
        <v>21</v>
      </c>
      <c r="C33" s="12" t="s">
        <v>3</v>
      </c>
      <c r="D33" s="12" t="s">
        <v>20</v>
      </c>
      <c r="E33" s="13" t="s">
        <v>56</v>
      </c>
      <c r="F33" s="22" t="s">
        <v>9</v>
      </c>
      <c r="G33" s="13" t="s">
        <v>0</v>
      </c>
      <c r="H33" s="12" t="s">
        <v>79</v>
      </c>
      <c r="I33" s="11">
        <v>6000</v>
      </c>
      <c r="J33" s="10"/>
      <c r="K33" s="9">
        <v>6000</v>
      </c>
      <c r="L33" s="8">
        <f t="shared" si="0"/>
        <v>0</v>
      </c>
    </row>
    <row r="34" spans="1:12" ht="150.75" customHeight="1" thickBot="1" x14ac:dyDescent="0.3">
      <c r="A34" s="47"/>
      <c r="B34" s="24" t="s">
        <v>21</v>
      </c>
      <c r="C34" s="12" t="s">
        <v>3</v>
      </c>
      <c r="D34" s="12" t="s">
        <v>20</v>
      </c>
      <c r="E34" s="13" t="s">
        <v>57</v>
      </c>
      <c r="F34" s="22" t="s">
        <v>9</v>
      </c>
      <c r="G34" s="13" t="s">
        <v>0</v>
      </c>
      <c r="H34" s="12" t="s">
        <v>79</v>
      </c>
      <c r="I34" s="11">
        <v>6250</v>
      </c>
      <c r="J34" s="10"/>
      <c r="K34" s="9">
        <v>6250</v>
      </c>
      <c r="L34" s="8">
        <f t="shared" si="0"/>
        <v>0</v>
      </c>
    </row>
    <row r="35" spans="1:12" ht="150.75" customHeight="1" thickBot="1" x14ac:dyDescent="0.3">
      <c r="A35" s="47"/>
      <c r="B35" s="24" t="s">
        <v>21</v>
      </c>
      <c r="C35" s="12" t="s">
        <v>3</v>
      </c>
      <c r="D35" s="12" t="s">
        <v>20</v>
      </c>
      <c r="E35" s="13" t="s">
        <v>57</v>
      </c>
      <c r="F35" s="22" t="s">
        <v>4</v>
      </c>
      <c r="G35" s="13" t="s">
        <v>0</v>
      </c>
      <c r="H35" s="12" t="s">
        <v>79</v>
      </c>
      <c r="I35" s="11">
        <v>10</v>
      </c>
      <c r="J35" s="10"/>
      <c r="K35" s="9">
        <v>10</v>
      </c>
      <c r="L35" s="8">
        <f t="shared" si="0"/>
        <v>0</v>
      </c>
    </row>
    <row r="36" spans="1:12" ht="150.75" customHeight="1" thickBot="1" x14ac:dyDescent="0.3">
      <c r="A36" s="47"/>
      <c r="B36" s="24" t="s">
        <v>21</v>
      </c>
      <c r="C36" s="12" t="s">
        <v>3</v>
      </c>
      <c r="D36" s="12" t="s">
        <v>20</v>
      </c>
      <c r="E36" s="13" t="s">
        <v>56</v>
      </c>
      <c r="F36" s="22" t="s">
        <v>9</v>
      </c>
      <c r="G36" s="13" t="s">
        <v>0</v>
      </c>
      <c r="H36" s="12" t="s">
        <v>79</v>
      </c>
      <c r="I36" s="11">
        <v>7000</v>
      </c>
      <c r="J36" s="10"/>
      <c r="K36" s="9">
        <v>7000</v>
      </c>
      <c r="L36" s="8">
        <f t="shared" si="0"/>
        <v>0</v>
      </c>
    </row>
    <row r="37" spans="1:12" ht="150.75" customHeight="1" thickBot="1" x14ac:dyDescent="0.3">
      <c r="A37" s="48"/>
      <c r="B37" s="24" t="s">
        <v>21</v>
      </c>
      <c r="C37" s="12" t="s">
        <v>3</v>
      </c>
      <c r="D37" s="12" t="s">
        <v>20</v>
      </c>
      <c r="E37" s="13" t="s">
        <v>57</v>
      </c>
      <c r="F37" s="22" t="s">
        <v>9</v>
      </c>
      <c r="G37" s="13" t="s">
        <v>0</v>
      </c>
      <c r="H37" s="12" t="s">
        <v>79</v>
      </c>
      <c r="I37" s="11">
        <v>7000</v>
      </c>
      <c r="J37" s="10"/>
      <c r="K37" s="9">
        <v>7000</v>
      </c>
      <c r="L37" s="8">
        <f t="shared" si="0"/>
        <v>0</v>
      </c>
    </row>
    <row r="38" spans="1:12" ht="150.75" customHeight="1" thickBot="1" x14ac:dyDescent="0.3">
      <c r="A38" s="46" t="s">
        <v>54</v>
      </c>
      <c r="B38" s="24" t="s">
        <v>67</v>
      </c>
      <c r="C38" s="12" t="s">
        <v>163</v>
      </c>
      <c r="D38" s="12" t="s">
        <v>60</v>
      </c>
      <c r="E38" s="13" t="s">
        <v>164</v>
      </c>
      <c r="F38" s="22" t="s">
        <v>102</v>
      </c>
      <c r="G38" s="13" t="s">
        <v>37</v>
      </c>
      <c r="H38" s="12" t="s">
        <v>79</v>
      </c>
      <c r="I38" s="11">
        <v>300</v>
      </c>
      <c r="J38" s="10"/>
      <c r="K38" s="9">
        <v>300</v>
      </c>
      <c r="L38" s="8">
        <f t="shared" si="0"/>
        <v>0</v>
      </c>
    </row>
    <row r="39" spans="1:12" ht="150.75" customHeight="1" thickBot="1" x14ac:dyDescent="0.3">
      <c r="A39" s="47"/>
      <c r="B39" s="24" t="s">
        <v>67</v>
      </c>
      <c r="C39" s="12" t="s">
        <v>163</v>
      </c>
      <c r="D39" s="12" t="s">
        <v>60</v>
      </c>
      <c r="E39" s="13" t="s">
        <v>165</v>
      </c>
      <c r="F39" s="22" t="s">
        <v>102</v>
      </c>
      <c r="G39" s="13" t="s">
        <v>37</v>
      </c>
      <c r="H39" s="12" t="s">
        <v>79</v>
      </c>
      <c r="I39" s="11">
        <v>90</v>
      </c>
      <c r="J39" s="10"/>
      <c r="K39" s="9">
        <v>90</v>
      </c>
      <c r="L39" s="8">
        <f t="shared" si="0"/>
        <v>0</v>
      </c>
    </row>
    <row r="40" spans="1:12" ht="150.75" customHeight="1" thickBot="1" x14ac:dyDescent="0.3">
      <c r="A40" s="47"/>
      <c r="B40" s="24" t="s">
        <v>67</v>
      </c>
      <c r="C40" s="12" t="s">
        <v>163</v>
      </c>
      <c r="D40" s="12" t="s">
        <v>60</v>
      </c>
      <c r="E40" s="13" t="s">
        <v>166</v>
      </c>
      <c r="F40" s="22" t="s">
        <v>102</v>
      </c>
      <c r="G40" s="13" t="s">
        <v>37</v>
      </c>
      <c r="H40" s="12" t="s">
        <v>79</v>
      </c>
      <c r="I40" s="11">
        <v>116</v>
      </c>
      <c r="J40" s="10"/>
      <c r="K40" s="9">
        <v>116</v>
      </c>
      <c r="L40" s="8">
        <f t="shared" si="0"/>
        <v>0</v>
      </c>
    </row>
    <row r="41" spans="1:12" ht="150.75" customHeight="1" thickBot="1" x14ac:dyDescent="0.3">
      <c r="A41" s="47"/>
      <c r="B41" s="24" t="s">
        <v>67</v>
      </c>
      <c r="C41" s="12" t="s">
        <v>163</v>
      </c>
      <c r="D41" s="12" t="s">
        <v>60</v>
      </c>
      <c r="E41" s="13" t="s">
        <v>167</v>
      </c>
      <c r="F41" s="22" t="s">
        <v>102</v>
      </c>
      <c r="G41" s="13" t="s">
        <v>37</v>
      </c>
      <c r="H41" s="12" t="s">
        <v>79</v>
      </c>
      <c r="I41" s="11">
        <v>1</v>
      </c>
      <c r="J41" s="10"/>
      <c r="K41" s="9">
        <v>1</v>
      </c>
      <c r="L41" s="8">
        <f t="shared" si="0"/>
        <v>0</v>
      </c>
    </row>
    <row r="42" spans="1:12" ht="150.75" customHeight="1" thickBot="1" x14ac:dyDescent="0.3">
      <c r="A42" s="47"/>
      <c r="B42" s="24" t="s">
        <v>104</v>
      </c>
      <c r="C42" s="12" t="s">
        <v>105</v>
      </c>
      <c r="D42" s="12" t="s">
        <v>60</v>
      </c>
      <c r="E42" s="13" t="s">
        <v>139</v>
      </c>
      <c r="F42" s="22" t="s">
        <v>64</v>
      </c>
      <c r="G42" s="13" t="s">
        <v>37</v>
      </c>
      <c r="H42" s="12" t="s">
        <v>79</v>
      </c>
      <c r="I42" s="11">
        <v>132</v>
      </c>
      <c r="J42" s="10"/>
      <c r="K42" s="9">
        <v>132</v>
      </c>
      <c r="L42" s="8">
        <f t="shared" si="0"/>
        <v>0</v>
      </c>
    </row>
    <row r="43" spans="1:12" ht="150.75" customHeight="1" thickBot="1" x14ac:dyDescent="0.3">
      <c r="A43" s="47"/>
      <c r="B43" s="24" t="s">
        <v>104</v>
      </c>
      <c r="C43" s="12" t="s">
        <v>105</v>
      </c>
      <c r="D43" s="12" t="s">
        <v>60</v>
      </c>
      <c r="E43" s="13" t="s">
        <v>140</v>
      </c>
      <c r="F43" s="22" t="s">
        <v>64</v>
      </c>
      <c r="G43" s="13" t="s">
        <v>37</v>
      </c>
      <c r="H43" s="12" t="s">
        <v>79</v>
      </c>
      <c r="I43" s="11">
        <v>79</v>
      </c>
      <c r="J43" s="10"/>
      <c r="K43" s="9">
        <v>79</v>
      </c>
      <c r="L43" s="8">
        <f t="shared" si="0"/>
        <v>0</v>
      </c>
    </row>
    <row r="44" spans="1:12" ht="150.75" customHeight="1" thickBot="1" x14ac:dyDescent="0.3">
      <c r="A44" s="47"/>
      <c r="B44" s="24" t="s">
        <v>104</v>
      </c>
      <c r="C44" s="12" t="s">
        <v>105</v>
      </c>
      <c r="D44" s="12" t="s">
        <v>60</v>
      </c>
      <c r="E44" s="13" t="s">
        <v>141</v>
      </c>
      <c r="F44" s="22" t="s">
        <v>64</v>
      </c>
      <c r="G44" s="13" t="s">
        <v>37</v>
      </c>
      <c r="H44" s="12" t="s">
        <v>79</v>
      </c>
      <c r="I44" s="11">
        <v>1</v>
      </c>
      <c r="J44" s="10"/>
      <c r="K44" s="9">
        <v>1</v>
      </c>
      <c r="L44" s="8">
        <f t="shared" si="0"/>
        <v>0</v>
      </c>
    </row>
    <row r="45" spans="1:12" ht="150.75" customHeight="1" thickBot="1" x14ac:dyDescent="0.3">
      <c r="A45" s="47"/>
      <c r="B45" s="24" t="s">
        <v>104</v>
      </c>
      <c r="C45" s="12" t="s">
        <v>105</v>
      </c>
      <c r="D45" s="12" t="s">
        <v>60</v>
      </c>
      <c r="E45" s="13" t="s">
        <v>142</v>
      </c>
      <c r="F45" s="22" t="s">
        <v>64</v>
      </c>
      <c r="G45" s="13" t="s">
        <v>37</v>
      </c>
      <c r="H45" s="12" t="s">
        <v>79</v>
      </c>
      <c r="I45" s="11">
        <v>538</v>
      </c>
      <c r="J45" s="10"/>
      <c r="K45" s="9">
        <v>538</v>
      </c>
      <c r="L45" s="8">
        <f t="shared" si="0"/>
        <v>0</v>
      </c>
    </row>
    <row r="46" spans="1:12" ht="150.75" customHeight="1" thickBot="1" x14ac:dyDescent="0.3">
      <c r="A46" s="47"/>
      <c r="B46" s="24" t="s">
        <v>104</v>
      </c>
      <c r="C46" s="12" t="s">
        <v>105</v>
      </c>
      <c r="D46" s="12" t="s">
        <v>60</v>
      </c>
      <c r="E46" s="13" t="s">
        <v>143</v>
      </c>
      <c r="F46" s="22" t="s">
        <v>64</v>
      </c>
      <c r="G46" s="13" t="s">
        <v>37</v>
      </c>
      <c r="H46" s="12" t="s">
        <v>79</v>
      </c>
      <c r="I46" s="11">
        <v>50</v>
      </c>
      <c r="J46" s="10">
        <v>50</v>
      </c>
      <c r="K46" s="9"/>
      <c r="L46" s="8">
        <f t="shared" si="0"/>
        <v>0</v>
      </c>
    </row>
    <row r="47" spans="1:12" ht="150.75" customHeight="1" thickBot="1" x14ac:dyDescent="0.3">
      <c r="A47" s="47"/>
      <c r="B47" s="24" t="s">
        <v>104</v>
      </c>
      <c r="C47" s="12" t="s">
        <v>105</v>
      </c>
      <c r="D47" s="12" t="s">
        <v>60</v>
      </c>
      <c r="E47" s="13" t="s">
        <v>144</v>
      </c>
      <c r="F47" s="22" t="s">
        <v>64</v>
      </c>
      <c r="G47" s="13" t="s">
        <v>37</v>
      </c>
      <c r="H47" s="12" t="s">
        <v>79</v>
      </c>
      <c r="I47" s="11">
        <v>91</v>
      </c>
      <c r="J47" s="10"/>
      <c r="K47" s="9">
        <v>91</v>
      </c>
      <c r="L47" s="8">
        <f t="shared" si="0"/>
        <v>0</v>
      </c>
    </row>
    <row r="48" spans="1:12" ht="150.75" customHeight="1" thickBot="1" x14ac:dyDescent="0.3">
      <c r="A48" s="47"/>
      <c r="B48" s="24" t="s">
        <v>104</v>
      </c>
      <c r="C48" s="12" t="s">
        <v>105</v>
      </c>
      <c r="D48" s="12" t="s">
        <v>60</v>
      </c>
      <c r="E48" s="13" t="s">
        <v>145</v>
      </c>
      <c r="F48" s="22" t="s">
        <v>64</v>
      </c>
      <c r="G48" s="13" t="s">
        <v>37</v>
      </c>
      <c r="H48" s="12" t="s">
        <v>79</v>
      </c>
      <c r="I48" s="11">
        <v>35</v>
      </c>
      <c r="J48" s="10">
        <v>35</v>
      </c>
      <c r="K48" s="9"/>
      <c r="L48" s="8">
        <f t="shared" si="0"/>
        <v>0</v>
      </c>
    </row>
    <row r="49" spans="1:12" ht="150.75" customHeight="1" thickBot="1" x14ac:dyDescent="0.3">
      <c r="A49" s="47"/>
      <c r="B49" s="24" t="s">
        <v>104</v>
      </c>
      <c r="C49" s="12" t="s">
        <v>105</v>
      </c>
      <c r="D49" s="12" t="s">
        <v>60</v>
      </c>
      <c r="E49" s="13" t="s">
        <v>146</v>
      </c>
      <c r="F49" s="22" t="s">
        <v>64</v>
      </c>
      <c r="G49" s="13" t="s">
        <v>37</v>
      </c>
      <c r="H49" s="12" t="s">
        <v>79</v>
      </c>
      <c r="I49" s="11">
        <v>2</v>
      </c>
      <c r="J49" s="10"/>
      <c r="K49" s="9">
        <v>2</v>
      </c>
      <c r="L49" s="8">
        <f t="shared" si="0"/>
        <v>0</v>
      </c>
    </row>
    <row r="50" spans="1:12" ht="150.75" customHeight="1" thickBot="1" x14ac:dyDescent="0.3">
      <c r="A50" s="48"/>
      <c r="B50" s="24" t="s">
        <v>104</v>
      </c>
      <c r="C50" s="12" t="s">
        <v>105</v>
      </c>
      <c r="D50" s="12" t="s">
        <v>60</v>
      </c>
      <c r="E50" s="13" t="s">
        <v>147</v>
      </c>
      <c r="F50" s="22" t="s">
        <v>64</v>
      </c>
      <c r="G50" s="13" t="s">
        <v>37</v>
      </c>
      <c r="H50" s="12" t="s">
        <v>79</v>
      </c>
      <c r="I50" s="11">
        <v>3</v>
      </c>
      <c r="J50" s="10"/>
      <c r="K50" s="9">
        <v>3</v>
      </c>
      <c r="L50" s="8">
        <f t="shared" si="0"/>
        <v>0</v>
      </c>
    </row>
    <row r="51" spans="1:12" ht="150.75" customHeight="1" thickBot="1" x14ac:dyDescent="0.3">
      <c r="A51" s="46" t="s">
        <v>19</v>
      </c>
      <c r="B51" s="24" t="s">
        <v>18</v>
      </c>
      <c r="C51" s="12" t="s">
        <v>17</v>
      </c>
      <c r="D51" s="12" t="s">
        <v>14</v>
      </c>
      <c r="E51" s="13" t="s">
        <v>16</v>
      </c>
      <c r="F51" s="22" t="s">
        <v>4</v>
      </c>
      <c r="G51" s="13" t="s">
        <v>0</v>
      </c>
      <c r="H51" s="12" t="s">
        <v>79</v>
      </c>
      <c r="I51" s="11">
        <v>800</v>
      </c>
      <c r="J51" s="10"/>
      <c r="K51" s="9">
        <v>800</v>
      </c>
      <c r="L51" s="8">
        <f t="shared" si="0"/>
        <v>0</v>
      </c>
    </row>
    <row r="52" spans="1:12" ht="150.75" customHeight="1" thickBot="1" x14ac:dyDescent="0.3">
      <c r="A52" s="47"/>
      <c r="B52" s="24" t="s">
        <v>7</v>
      </c>
      <c r="C52" s="12" t="s">
        <v>15</v>
      </c>
      <c r="D52" s="12" t="s">
        <v>14</v>
      </c>
      <c r="E52" s="13" t="s">
        <v>65</v>
      </c>
      <c r="F52" s="22" t="s">
        <v>4</v>
      </c>
      <c r="G52" s="13" t="s">
        <v>0</v>
      </c>
      <c r="H52" s="12" t="s">
        <v>79</v>
      </c>
      <c r="I52" s="11">
        <v>2000</v>
      </c>
      <c r="J52" s="10">
        <v>500</v>
      </c>
      <c r="K52" s="9">
        <v>1500</v>
      </c>
      <c r="L52" s="8">
        <f t="shared" si="0"/>
        <v>0</v>
      </c>
    </row>
    <row r="53" spans="1:12" ht="150.75" customHeight="1" thickBot="1" x14ac:dyDescent="0.3">
      <c r="A53" s="47"/>
      <c r="B53" s="24" t="s">
        <v>7</v>
      </c>
      <c r="C53" s="12" t="s">
        <v>15</v>
      </c>
      <c r="D53" s="12" t="s">
        <v>14</v>
      </c>
      <c r="E53" s="13" t="s">
        <v>13</v>
      </c>
      <c r="F53" s="22" t="s">
        <v>4</v>
      </c>
      <c r="G53" s="13" t="s">
        <v>0</v>
      </c>
      <c r="H53" s="12" t="s">
        <v>79</v>
      </c>
      <c r="I53" s="11">
        <v>2000</v>
      </c>
      <c r="J53" s="10">
        <v>500</v>
      </c>
      <c r="K53" s="9">
        <v>1500</v>
      </c>
      <c r="L53" s="8">
        <f t="shared" si="0"/>
        <v>0</v>
      </c>
    </row>
    <row r="54" spans="1:12" ht="150.75" customHeight="1" thickBot="1" x14ac:dyDescent="0.3">
      <c r="A54" s="47"/>
      <c r="B54" s="24" t="s">
        <v>7</v>
      </c>
      <c r="C54" s="12" t="s">
        <v>15</v>
      </c>
      <c r="D54" s="12" t="s">
        <v>14</v>
      </c>
      <c r="E54" s="13" t="s">
        <v>58</v>
      </c>
      <c r="F54" s="22" t="s">
        <v>4</v>
      </c>
      <c r="G54" s="13" t="s">
        <v>0</v>
      </c>
      <c r="H54" s="12" t="s">
        <v>79</v>
      </c>
      <c r="I54" s="11">
        <v>1000</v>
      </c>
      <c r="J54" s="10"/>
      <c r="K54" s="9">
        <v>1000</v>
      </c>
      <c r="L54" s="8">
        <f t="shared" si="0"/>
        <v>0</v>
      </c>
    </row>
    <row r="55" spans="1:12" ht="150.75" customHeight="1" thickBot="1" x14ac:dyDescent="0.3">
      <c r="A55" s="47"/>
      <c r="B55" s="24" t="s">
        <v>7</v>
      </c>
      <c r="C55" s="12" t="s">
        <v>15</v>
      </c>
      <c r="D55" s="12" t="s">
        <v>14</v>
      </c>
      <c r="E55" s="13" t="s">
        <v>13</v>
      </c>
      <c r="F55" s="22" t="s">
        <v>4</v>
      </c>
      <c r="G55" s="13" t="s">
        <v>0</v>
      </c>
      <c r="H55" s="12" t="s">
        <v>79</v>
      </c>
      <c r="I55" s="11">
        <v>1000</v>
      </c>
      <c r="J55" s="10"/>
      <c r="K55" s="9">
        <v>1000</v>
      </c>
      <c r="L55" s="8">
        <f t="shared" si="0"/>
        <v>0</v>
      </c>
    </row>
    <row r="56" spans="1:12" ht="150.75" customHeight="1" thickBot="1" x14ac:dyDescent="0.3">
      <c r="A56" s="47"/>
      <c r="B56" s="24" t="s">
        <v>12</v>
      </c>
      <c r="C56" s="12" t="s">
        <v>118</v>
      </c>
      <c r="D56" s="12" t="s">
        <v>123</v>
      </c>
      <c r="E56" s="13" t="s">
        <v>124</v>
      </c>
      <c r="F56" s="22" t="s">
        <v>9</v>
      </c>
      <c r="G56" s="13" t="s">
        <v>0</v>
      </c>
      <c r="H56" s="12" t="s">
        <v>132</v>
      </c>
      <c r="I56" s="11">
        <v>2750</v>
      </c>
      <c r="J56" s="10"/>
      <c r="K56" s="9">
        <v>2750</v>
      </c>
      <c r="L56" s="8">
        <f t="shared" si="0"/>
        <v>0</v>
      </c>
    </row>
    <row r="57" spans="1:12" ht="150.75" customHeight="1" thickBot="1" x14ac:dyDescent="0.3">
      <c r="A57" s="47"/>
      <c r="B57" s="24" t="s">
        <v>12</v>
      </c>
      <c r="C57" s="12" t="s">
        <v>3</v>
      </c>
      <c r="D57" s="12" t="s">
        <v>11</v>
      </c>
      <c r="E57" s="13" t="s">
        <v>10</v>
      </c>
      <c r="F57" s="22" t="s">
        <v>4</v>
      </c>
      <c r="G57" s="13" t="s">
        <v>0</v>
      </c>
      <c r="H57" s="12" t="s">
        <v>79</v>
      </c>
      <c r="I57" s="11">
        <v>9000</v>
      </c>
      <c r="J57" s="10">
        <v>2000</v>
      </c>
      <c r="K57" s="9">
        <v>7000</v>
      </c>
      <c r="L57" s="8">
        <f t="shared" si="0"/>
        <v>0</v>
      </c>
    </row>
    <row r="58" spans="1:12" ht="150.75" customHeight="1" thickBot="1" x14ac:dyDescent="0.3">
      <c r="A58" s="47"/>
      <c r="B58" s="24" t="s">
        <v>12</v>
      </c>
      <c r="C58" s="12" t="s">
        <v>3</v>
      </c>
      <c r="D58" s="12" t="s">
        <v>11</v>
      </c>
      <c r="E58" s="13" t="s">
        <v>10</v>
      </c>
      <c r="F58" s="22" t="s">
        <v>9</v>
      </c>
      <c r="G58" s="13" t="s">
        <v>0</v>
      </c>
      <c r="H58" s="12" t="s">
        <v>132</v>
      </c>
      <c r="I58" s="11">
        <v>3360</v>
      </c>
      <c r="J58" s="10"/>
      <c r="K58" s="9">
        <v>3360</v>
      </c>
      <c r="L58" s="8">
        <f t="shared" si="0"/>
        <v>0</v>
      </c>
    </row>
    <row r="59" spans="1:12" ht="150.75" customHeight="1" thickBot="1" x14ac:dyDescent="0.3">
      <c r="A59" s="47"/>
      <c r="B59" s="24" t="s">
        <v>7</v>
      </c>
      <c r="C59" s="12" t="s">
        <v>6</v>
      </c>
      <c r="D59" s="12" t="s">
        <v>1</v>
      </c>
      <c r="E59" s="13" t="s">
        <v>5</v>
      </c>
      <c r="F59" s="22" t="s">
        <v>4</v>
      </c>
      <c r="G59" s="13" t="s">
        <v>0</v>
      </c>
      <c r="H59" s="12" t="s">
        <v>79</v>
      </c>
      <c r="I59" s="11">
        <v>6344</v>
      </c>
      <c r="J59" s="10"/>
      <c r="K59" s="9">
        <v>6344</v>
      </c>
      <c r="L59" s="8">
        <f t="shared" si="0"/>
        <v>0</v>
      </c>
    </row>
    <row r="60" spans="1:12" ht="150.75" customHeight="1" thickBot="1" x14ac:dyDescent="0.3">
      <c r="A60" s="47"/>
      <c r="B60" s="24" t="s">
        <v>7</v>
      </c>
      <c r="C60" s="12" t="s">
        <v>6</v>
      </c>
      <c r="D60" s="12" t="s">
        <v>1</v>
      </c>
      <c r="E60" s="13" t="s">
        <v>5</v>
      </c>
      <c r="F60" s="22" t="s">
        <v>9</v>
      </c>
      <c r="G60" s="13" t="s">
        <v>0</v>
      </c>
      <c r="H60" s="12" t="s">
        <v>79</v>
      </c>
      <c r="I60" s="11">
        <v>3000</v>
      </c>
      <c r="J60" s="10"/>
      <c r="K60" s="9">
        <v>3000</v>
      </c>
      <c r="L60" s="8">
        <f t="shared" si="0"/>
        <v>0</v>
      </c>
    </row>
    <row r="61" spans="1:12" ht="150.75" customHeight="1" thickBot="1" x14ac:dyDescent="0.3">
      <c r="A61" s="47"/>
      <c r="B61" s="24" t="s">
        <v>7</v>
      </c>
      <c r="C61" s="12" t="s">
        <v>6</v>
      </c>
      <c r="D61" s="12" t="s">
        <v>1</v>
      </c>
      <c r="E61" s="13" t="s">
        <v>5</v>
      </c>
      <c r="F61" s="22" t="s">
        <v>4</v>
      </c>
      <c r="G61" s="13" t="s">
        <v>0</v>
      </c>
      <c r="H61" s="12" t="s">
        <v>79</v>
      </c>
      <c r="I61" s="11">
        <v>3000</v>
      </c>
      <c r="J61" s="10"/>
      <c r="K61" s="9">
        <v>3000</v>
      </c>
      <c r="L61" s="8">
        <f t="shared" si="0"/>
        <v>0</v>
      </c>
    </row>
    <row r="62" spans="1:12" ht="150.75" customHeight="1" thickBot="1" x14ac:dyDescent="0.3">
      <c r="A62" s="48"/>
      <c r="B62" s="24" t="s">
        <v>7</v>
      </c>
      <c r="C62" s="12" t="s">
        <v>6</v>
      </c>
      <c r="D62" s="12" t="s">
        <v>1</v>
      </c>
      <c r="E62" s="13" t="s">
        <v>5</v>
      </c>
      <c r="F62" s="22" t="s">
        <v>9</v>
      </c>
      <c r="G62" s="13" t="s">
        <v>0</v>
      </c>
      <c r="H62" s="12" t="s">
        <v>79</v>
      </c>
      <c r="I62" s="11">
        <v>2000</v>
      </c>
      <c r="J62" s="10"/>
      <c r="K62" s="9">
        <v>2000</v>
      </c>
      <c r="L62" s="8">
        <f t="shared" si="0"/>
        <v>0</v>
      </c>
    </row>
    <row r="116" spans="11:11" x14ac:dyDescent="0.25">
      <c r="K116" s="3" t="s">
        <v>148</v>
      </c>
    </row>
  </sheetData>
  <autoFilter ref="A2:L47"/>
  <dataConsolidate/>
  <mergeCells count="6">
    <mergeCell ref="A51:A62"/>
    <mergeCell ref="A1:L1"/>
    <mergeCell ref="A3:A15"/>
    <mergeCell ref="A16:A28"/>
    <mergeCell ref="A29:A37"/>
    <mergeCell ref="A38:A50"/>
  </mergeCells>
  <conditionalFormatting sqref="I2:I42 K3:L42 L43:L62">
    <cfRule type="cellIs" dxfId="172" priority="3" operator="lessThan">
      <formula>0</formula>
    </cfRule>
  </conditionalFormatting>
  <conditionalFormatting sqref="L2">
    <cfRule type="cellIs" dxfId="171" priority="2" operator="lessThan">
      <formula>0</formula>
    </cfRule>
  </conditionalFormatting>
  <conditionalFormatting sqref="I43:I62 K43:K62">
    <cfRule type="cellIs" dxfId="170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26"/>
  <sheetViews>
    <sheetView showGridLines="0" view="pageBreakPreview" topLeftCell="A7" zoomScale="20" zoomScaleNormal="27" zoomScaleSheetLayoutView="20" workbookViewId="0">
      <selection activeCell="I13" sqref="I13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162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40</v>
      </c>
      <c r="C3" s="12" t="s">
        <v>149</v>
      </c>
      <c r="D3" s="12" t="s">
        <v>126</v>
      </c>
      <c r="E3" s="13" t="s">
        <v>150</v>
      </c>
      <c r="F3" s="22" t="s">
        <v>122</v>
      </c>
      <c r="G3" s="13" t="s">
        <v>0</v>
      </c>
      <c r="H3" s="12" t="s">
        <v>79</v>
      </c>
      <c r="I3" s="11">
        <v>1600</v>
      </c>
      <c r="J3" s="10">
        <v>1000</v>
      </c>
      <c r="K3" s="9">
        <v>600</v>
      </c>
      <c r="L3" s="8">
        <f t="shared" ref="L3:L56" si="0">K3+J3-I3</f>
        <v>0</v>
      </c>
    </row>
    <row r="4" spans="1:12" ht="150.75" customHeight="1" thickBot="1" x14ac:dyDescent="0.3">
      <c r="A4" s="47"/>
      <c r="B4" s="13" t="s">
        <v>136</v>
      </c>
      <c r="C4" s="12" t="s">
        <v>6</v>
      </c>
      <c r="D4" s="12" t="s">
        <v>126</v>
      </c>
      <c r="E4" s="13" t="s">
        <v>137</v>
      </c>
      <c r="F4" s="22" t="s">
        <v>122</v>
      </c>
      <c r="G4" s="13" t="s">
        <v>0</v>
      </c>
      <c r="H4" s="12" t="s">
        <v>132</v>
      </c>
      <c r="I4" s="11">
        <v>2000</v>
      </c>
      <c r="J4" s="10"/>
      <c r="K4" s="9">
        <v>2000</v>
      </c>
      <c r="L4" s="8">
        <f t="shared" si="0"/>
        <v>0</v>
      </c>
    </row>
    <row r="5" spans="1:12" ht="150.75" customHeight="1" thickBot="1" x14ac:dyDescent="0.3">
      <c r="A5" s="47"/>
      <c r="B5" s="13" t="s">
        <v>40</v>
      </c>
      <c r="C5" s="12" t="s">
        <v>26</v>
      </c>
      <c r="D5" s="12" t="s">
        <v>126</v>
      </c>
      <c r="E5" s="13" t="s">
        <v>151</v>
      </c>
      <c r="F5" s="22" t="s">
        <v>131</v>
      </c>
      <c r="G5" s="13" t="s">
        <v>37</v>
      </c>
      <c r="H5" s="12" t="s">
        <v>79</v>
      </c>
      <c r="I5" s="11">
        <v>253</v>
      </c>
      <c r="J5" s="10"/>
      <c r="K5" s="9">
        <v>253</v>
      </c>
      <c r="L5" s="8">
        <f t="shared" si="0"/>
        <v>0</v>
      </c>
    </row>
    <row r="6" spans="1:12" ht="150.75" customHeight="1" thickBot="1" x14ac:dyDescent="0.3">
      <c r="A6" s="47"/>
      <c r="B6" s="13" t="s">
        <v>40</v>
      </c>
      <c r="C6" s="12" t="s">
        <v>26</v>
      </c>
      <c r="D6" s="12" t="s">
        <v>126</v>
      </c>
      <c r="E6" s="13" t="s">
        <v>152</v>
      </c>
      <c r="F6" s="22" t="s">
        <v>131</v>
      </c>
      <c r="G6" s="13" t="s">
        <v>37</v>
      </c>
      <c r="H6" s="12" t="s">
        <v>79</v>
      </c>
      <c r="I6" s="11">
        <v>995</v>
      </c>
      <c r="J6" s="10"/>
      <c r="K6" s="9">
        <v>995</v>
      </c>
      <c r="L6" s="8">
        <f t="shared" si="0"/>
        <v>0</v>
      </c>
    </row>
    <row r="7" spans="1:12" ht="150.75" customHeight="1" thickBot="1" x14ac:dyDescent="0.3">
      <c r="A7" s="47"/>
      <c r="B7" s="13" t="s">
        <v>136</v>
      </c>
      <c r="C7" s="12" t="s">
        <v>3</v>
      </c>
      <c r="D7" s="12" t="s">
        <v>126</v>
      </c>
      <c r="E7" s="13" t="s">
        <v>153</v>
      </c>
      <c r="F7" s="22" t="s">
        <v>122</v>
      </c>
      <c r="G7" s="13" t="s">
        <v>0</v>
      </c>
      <c r="H7" s="12" t="s">
        <v>132</v>
      </c>
      <c r="I7" s="11">
        <v>5000</v>
      </c>
      <c r="J7" s="10">
        <v>1000</v>
      </c>
      <c r="K7" s="9">
        <f>1200+1200+1600</f>
        <v>4000</v>
      </c>
      <c r="L7" s="8">
        <f t="shared" si="0"/>
        <v>0</v>
      </c>
    </row>
    <row r="8" spans="1:12" ht="150.75" customHeight="1" thickBot="1" x14ac:dyDescent="0.3">
      <c r="A8" s="47"/>
      <c r="B8" s="13" t="s">
        <v>38</v>
      </c>
      <c r="C8" s="12" t="s">
        <v>27</v>
      </c>
      <c r="D8" s="12" t="s">
        <v>24</v>
      </c>
      <c r="E8" s="23" t="s">
        <v>111</v>
      </c>
      <c r="F8" s="22" t="s">
        <v>4</v>
      </c>
      <c r="G8" s="13" t="s">
        <v>0</v>
      </c>
      <c r="H8" s="12" t="s">
        <v>132</v>
      </c>
      <c r="I8" s="11">
        <v>1250</v>
      </c>
      <c r="J8" s="10"/>
      <c r="K8" s="9">
        <v>1250</v>
      </c>
      <c r="L8" s="8">
        <f t="shared" si="0"/>
        <v>0</v>
      </c>
    </row>
    <row r="9" spans="1:12" ht="150.75" customHeight="1" thickBot="1" x14ac:dyDescent="0.3">
      <c r="A9" s="47"/>
      <c r="B9" s="13" t="s">
        <v>32</v>
      </c>
      <c r="C9" s="12" t="s">
        <v>31</v>
      </c>
      <c r="D9" s="12" t="s">
        <v>24</v>
      </c>
      <c r="E9" s="23" t="s">
        <v>71</v>
      </c>
      <c r="F9" s="22" t="s">
        <v>4</v>
      </c>
      <c r="G9" s="13" t="s">
        <v>0</v>
      </c>
      <c r="H9" s="12" t="s">
        <v>132</v>
      </c>
      <c r="I9" s="11">
        <v>1500</v>
      </c>
      <c r="J9" s="10"/>
      <c r="K9" s="9">
        <v>1500</v>
      </c>
      <c r="L9" s="8">
        <f t="shared" si="0"/>
        <v>0</v>
      </c>
    </row>
    <row r="10" spans="1:12" ht="150.75" customHeight="1" thickBot="1" x14ac:dyDescent="0.3">
      <c r="A10" s="47"/>
      <c r="B10" s="13" t="s">
        <v>32</v>
      </c>
      <c r="C10" s="12" t="s">
        <v>31</v>
      </c>
      <c r="D10" s="12" t="s">
        <v>24</v>
      </c>
      <c r="E10" s="23" t="s">
        <v>78</v>
      </c>
      <c r="F10" s="22" t="s">
        <v>4</v>
      </c>
      <c r="G10" s="13" t="s">
        <v>0</v>
      </c>
      <c r="H10" s="12" t="s">
        <v>79</v>
      </c>
      <c r="I10" s="11">
        <v>1000</v>
      </c>
      <c r="J10" s="10"/>
      <c r="K10" s="9">
        <v>1000</v>
      </c>
      <c r="L10" s="8">
        <f t="shared" si="0"/>
        <v>0</v>
      </c>
    </row>
    <row r="11" spans="1:12" ht="150.75" customHeight="1" thickBot="1" x14ac:dyDescent="0.3">
      <c r="A11" s="47"/>
      <c r="B11" s="13" t="s">
        <v>32</v>
      </c>
      <c r="C11" s="12" t="s">
        <v>31</v>
      </c>
      <c r="D11" s="12" t="s">
        <v>24</v>
      </c>
      <c r="E11" s="23" t="s">
        <v>154</v>
      </c>
      <c r="F11" s="22" t="s">
        <v>4</v>
      </c>
      <c r="G11" s="13" t="s">
        <v>0</v>
      </c>
      <c r="H11" s="12" t="s">
        <v>79</v>
      </c>
      <c r="I11" s="11">
        <v>1060</v>
      </c>
      <c r="J11" s="10"/>
      <c r="K11" s="9">
        <v>1060</v>
      </c>
      <c r="L11" s="8">
        <f t="shared" si="0"/>
        <v>0</v>
      </c>
    </row>
    <row r="12" spans="1:12" ht="150.75" customHeight="1" thickBot="1" x14ac:dyDescent="0.3">
      <c r="A12" s="47"/>
      <c r="B12" s="13" t="s">
        <v>35</v>
      </c>
      <c r="C12" s="12" t="s">
        <v>26</v>
      </c>
      <c r="D12" s="12" t="s">
        <v>24</v>
      </c>
      <c r="E12" s="13" t="s">
        <v>25</v>
      </c>
      <c r="F12" s="22" t="s">
        <v>4</v>
      </c>
      <c r="G12" s="13" t="s">
        <v>0</v>
      </c>
      <c r="H12" s="12" t="s">
        <v>79</v>
      </c>
      <c r="I12" s="11">
        <v>1553</v>
      </c>
      <c r="J12" s="10"/>
      <c r="K12" s="9">
        <v>1553</v>
      </c>
      <c r="L12" s="8">
        <f t="shared" si="0"/>
        <v>0</v>
      </c>
    </row>
    <row r="13" spans="1:12" ht="150.75" customHeight="1" thickBot="1" x14ac:dyDescent="0.3">
      <c r="A13" s="47"/>
      <c r="B13" s="13" t="s">
        <v>28</v>
      </c>
      <c r="C13" s="12" t="s">
        <v>34</v>
      </c>
      <c r="D13" s="12" t="s">
        <v>24</v>
      </c>
      <c r="E13" s="13" t="s">
        <v>33</v>
      </c>
      <c r="F13" s="22" t="s">
        <v>4</v>
      </c>
      <c r="G13" s="13" t="s">
        <v>0</v>
      </c>
      <c r="H13" s="12" t="s">
        <v>79</v>
      </c>
      <c r="I13" s="35">
        <v>1000</v>
      </c>
      <c r="J13" s="10"/>
      <c r="K13" s="9">
        <v>1000</v>
      </c>
      <c r="L13" s="8">
        <f t="shared" si="0"/>
        <v>0</v>
      </c>
    </row>
    <row r="14" spans="1:12" ht="150.75" customHeight="1" thickBot="1" x14ac:dyDescent="0.3">
      <c r="A14" s="47"/>
      <c r="B14" s="13" t="s">
        <v>66</v>
      </c>
      <c r="C14" s="12" t="s">
        <v>62</v>
      </c>
      <c r="D14" s="12" t="s">
        <v>24</v>
      </c>
      <c r="E14" s="13" t="s">
        <v>63</v>
      </c>
      <c r="F14" s="22" t="s">
        <v>4</v>
      </c>
      <c r="G14" s="13" t="s">
        <v>0</v>
      </c>
      <c r="H14" s="12" t="s">
        <v>132</v>
      </c>
      <c r="I14" s="11">
        <v>2660</v>
      </c>
      <c r="J14" s="10">
        <v>1000</v>
      </c>
      <c r="K14" s="9">
        <v>1660</v>
      </c>
      <c r="L14" s="8">
        <f t="shared" si="0"/>
        <v>0</v>
      </c>
    </row>
    <row r="15" spans="1:12" ht="150.75" customHeight="1" thickBot="1" x14ac:dyDescent="0.3">
      <c r="A15" s="47"/>
      <c r="B15" s="13" t="s">
        <v>95</v>
      </c>
      <c r="C15" s="12" t="s">
        <v>15</v>
      </c>
      <c r="D15" s="12" t="s">
        <v>24</v>
      </c>
      <c r="E15" s="13" t="s">
        <v>96</v>
      </c>
      <c r="F15" s="22" t="s">
        <v>4</v>
      </c>
      <c r="G15" s="13" t="s">
        <v>0</v>
      </c>
      <c r="H15" s="12" t="s">
        <v>132</v>
      </c>
      <c r="I15" s="11">
        <v>3000</v>
      </c>
      <c r="J15" s="10"/>
      <c r="K15" s="9">
        <v>3000</v>
      </c>
      <c r="L15" s="8">
        <f t="shared" si="0"/>
        <v>0</v>
      </c>
    </row>
    <row r="16" spans="1:12" ht="150.75" customHeight="1" thickBot="1" x14ac:dyDescent="0.3">
      <c r="A16" s="47"/>
      <c r="B16" s="13" t="s">
        <v>38</v>
      </c>
      <c r="C16" s="12" t="s">
        <v>27</v>
      </c>
      <c r="D16" s="12" t="s">
        <v>24</v>
      </c>
      <c r="E16" s="13" t="s">
        <v>55</v>
      </c>
      <c r="F16" s="22" t="s">
        <v>9</v>
      </c>
      <c r="G16" s="13" t="s">
        <v>0</v>
      </c>
      <c r="H16" s="12" t="s">
        <v>132</v>
      </c>
      <c r="I16" s="11">
        <v>2000</v>
      </c>
      <c r="J16" s="10"/>
      <c r="K16" s="9">
        <v>2000</v>
      </c>
      <c r="L16" s="8">
        <f t="shared" si="0"/>
        <v>0</v>
      </c>
    </row>
    <row r="17" spans="1:12" ht="150.75" customHeight="1" thickBot="1" x14ac:dyDescent="0.3">
      <c r="A17" s="47"/>
      <c r="B17" s="13" t="s">
        <v>38</v>
      </c>
      <c r="C17" s="12" t="s">
        <v>27</v>
      </c>
      <c r="D17" s="12" t="s">
        <v>24</v>
      </c>
      <c r="E17" s="13" t="s">
        <v>76</v>
      </c>
      <c r="F17" s="22" t="s">
        <v>4</v>
      </c>
      <c r="G17" s="13" t="s">
        <v>0</v>
      </c>
      <c r="H17" s="12" t="s">
        <v>132</v>
      </c>
      <c r="I17" s="11">
        <v>1500</v>
      </c>
      <c r="J17" s="10">
        <v>500</v>
      </c>
      <c r="K17" s="9">
        <v>1000</v>
      </c>
      <c r="L17" s="8">
        <f t="shared" si="0"/>
        <v>0</v>
      </c>
    </row>
    <row r="18" spans="1:12" ht="150.75" customHeight="1" thickBot="1" x14ac:dyDescent="0.3">
      <c r="A18" s="47"/>
      <c r="B18" s="13" t="s">
        <v>38</v>
      </c>
      <c r="C18" s="12" t="s">
        <v>27</v>
      </c>
      <c r="D18" s="12" t="s">
        <v>24</v>
      </c>
      <c r="E18" s="13" t="s">
        <v>111</v>
      </c>
      <c r="F18" s="22" t="s">
        <v>4</v>
      </c>
      <c r="G18" s="13" t="s">
        <v>0</v>
      </c>
      <c r="H18" s="12" t="s">
        <v>132</v>
      </c>
      <c r="I18" s="11">
        <v>1500</v>
      </c>
      <c r="J18" s="10"/>
      <c r="K18" s="9">
        <v>1500</v>
      </c>
      <c r="L18" s="8">
        <f t="shared" si="0"/>
        <v>0</v>
      </c>
    </row>
    <row r="19" spans="1:12" ht="150.75" customHeight="1" thickBot="1" x14ac:dyDescent="0.3">
      <c r="A19" s="47"/>
      <c r="B19" s="13" t="s">
        <v>112</v>
      </c>
      <c r="C19" s="12" t="s">
        <v>113</v>
      </c>
      <c r="D19" s="12" t="s">
        <v>24</v>
      </c>
      <c r="E19" s="13" t="s">
        <v>115</v>
      </c>
      <c r="F19" s="22" t="s">
        <v>9</v>
      </c>
      <c r="G19" s="13" t="s">
        <v>0</v>
      </c>
      <c r="H19" s="12" t="s">
        <v>132</v>
      </c>
      <c r="I19" s="11">
        <v>3000</v>
      </c>
      <c r="J19" s="10"/>
      <c r="K19" s="9">
        <f>1500+1500</f>
        <v>3000</v>
      </c>
      <c r="L19" s="8">
        <f t="shared" si="0"/>
        <v>0</v>
      </c>
    </row>
    <row r="20" spans="1:12" ht="150.75" customHeight="1" thickBot="1" x14ac:dyDescent="0.3">
      <c r="A20" s="47"/>
      <c r="B20" s="13" t="s">
        <v>32</v>
      </c>
      <c r="C20" s="12" t="s">
        <v>31</v>
      </c>
      <c r="D20" s="12" t="s">
        <v>24</v>
      </c>
      <c r="E20" s="13" t="s">
        <v>78</v>
      </c>
      <c r="F20" s="22" t="s">
        <v>4</v>
      </c>
      <c r="G20" s="13" t="s">
        <v>0</v>
      </c>
      <c r="H20" s="12" t="s">
        <v>79</v>
      </c>
      <c r="I20" s="11">
        <v>2000</v>
      </c>
      <c r="J20" s="10"/>
      <c r="K20" s="9">
        <v>2000</v>
      </c>
      <c r="L20" s="8">
        <f t="shared" si="0"/>
        <v>0</v>
      </c>
    </row>
    <row r="21" spans="1:12" ht="150.75" customHeight="1" thickBot="1" x14ac:dyDescent="0.3">
      <c r="A21" s="47"/>
      <c r="B21" s="13" t="s">
        <v>32</v>
      </c>
      <c r="C21" s="12" t="s">
        <v>31</v>
      </c>
      <c r="D21" s="12" t="s">
        <v>24</v>
      </c>
      <c r="E21" s="13" t="s">
        <v>71</v>
      </c>
      <c r="F21" s="22" t="s">
        <v>4</v>
      </c>
      <c r="G21" s="13" t="s">
        <v>0</v>
      </c>
      <c r="H21" s="12" t="s">
        <v>79</v>
      </c>
      <c r="I21" s="11">
        <v>1471</v>
      </c>
      <c r="J21" s="10">
        <v>500</v>
      </c>
      <c r="K21" s="9">
        <v>971</v>
      </c>
      <c r="L21" s="8">
        <f t="shared" si="0"/>
        <v>0</v>
      </c>
    </row>
    <row r="22" spans="1:12" ht="150.75" customHeight="1" thickBot="1" x14ac:dyDescent="0.3">
      <c r="A22" s="47"/>
      <c r="B22" s="13" t="s">
        <v>32</v>
      </c>
      <c r="C22" s="12" t="s">
        <v>31</v>
      </c>
      <c r="D22" s="12" t="s">
        <v>24</v>
      </c>
      <c r="E22" s="13" t="s">
        <v>154</v>
      </c>
      <c r="F22" s="22" t="s">
        <v>4</v>
      </c>
      <c r="G22" s="13" t="s">
        <v>0</v>
      </c>
      <c r="H22" s="12" t="s">
        <v>79</v>
      </c>
      <c r="I22" s="11">
        <v>1000</v>
      </c>
      <c r="J22" s="10"/>
      <c r="K22" s="9">
        <v>1000</v>
      </c>
      <c r="L22" s="8">
        <f t="shared" si="0"/>
        <v>0</v>
      </c>
    </row>
    <row r="23" spans="1:12" ht="150.75" customHeight="1" thickBot="1" x14ac:dyDescent="0.3">
      <c r="A23" s="47"/>
      <c r="B23" s="24" t="s">
        <v>32</v>
      </c>
      <c r="C23" s="12" t="s">
        <v>31</v>
      </c>
      <c r="D23" s="12" t="s">
        <v>24</v>
      </c>
      <c r="E23" s="13" t="s">
        <v>70</v>
      </c>
      <c r="F23" s="22" t="s">
        <v>4</v>
      </c>
      <c r="G23" s="13" t="s">
        <v>0</v>
      </c>
      <c r="H23" s="12" t="s">
        <v>132</v>
      </c>
      <c r="I23" s="11">
        <v>2000</v>
      </c>
      <c r="J23" s="10">
        <v>1000</v>
      </c>
      <c r="K23" s="9">
        <v>1000</v>
      </c>
      <c r="L23" s="8">
        <f t="shared" si="0"/>
        <v>0</v>
      </c>
    </row>
    <row r="24" spans="1:12" ht="150.75" customHeight="1" thickBot="1" x14ac:dyDescent="0.3">
      <c r="A24" s="48"/>
      <c r="B24" s="24" t="s">
        <v>28</v>
      </c>
      <c r="C24" s="12" t="s">
        <v>155</v>
      </c>
      <c r="D24" s="12" t="s">
        <v>24</v>
      </c>
      <c r="E24" s="13" t="s">
        <v>156</v>
      </c>
      <c r="F24" s="22" t="s">
        <v>4</v>
      </c>
      <c r="G24" s="13" t="s">
        <v>0</v>
      </c>
      <c r="H24" s="12" t="s">
        <v>132</v>
      </c>
      <c r="I24" s="11">
        <v>2000</v>
      </c>
      <c r="J24" s="10">
        <v>1000</v>
      </c>
      <c r="K24" s="9">
        <v>1000</v>
      </c>
      <c r="L24" s="8">
        <f t="shared" si="0"/>
        <v>0</v>
      </c>
    </row>
    <row r="25" spans="1:12" ht="150.75" customHeight="1" thickBot="1" x14ac:dyDescent="0.3">
      <c r="A25" s="46" t="s">
        <v>36</v>
      </c>
      <c r="B25" s="24" t="s">
        <v>66</v>
      </c>
      <c r="C25" s="12" t="s">
        <v>62</v>
      </c>
      <c r="D25" s="12" t="s">
        <v>24</v>
      </c>
      <c r="E25" s="13" t="s">
        <v>63</v>
      </c>
      <c r="F25" s="22" t="s">
        <v>4</v>
      </c>
      <c r="G25" s="13" t="s">
        <v>0</v>
      </c>
      <c r="H25" s="12" t="s">
        <v>132</v>
      </c>
      <c r="I25" s="11">
        <v>2660</v>
      </c>
      <c r="J25" s="10">
        <v>1000</v>
      </c>
      <c r="K25" s="9">
        <v>1660</v>
      </c>
      <c r="L25" s="8">
        <f t="shared" si="0"/>
        <v>0</v>
      </c>
    </row>
    <row r="26" spans="1:12" ht="150.75" customHeight="1" thickBot="1" x14ac:dyDescent="0.3">
      <c r="A26" s="47"/>
      <c r="B26" s="24" t="s">
        <v>66</v>
      </c>
      <c r="C26" s="12" t="s">
        <v>62</v>
      </c>
      <c r="D26" s="12" t="s">
        <v>24</v>
      </c>
      <c r="E26" s="13" t="s">
        <v>117</v>
      </c>
      <c r="F26" s="22" t="s">
        <v>4</v>
      </c>
      <c r="G26" s="13" t="s">
        <v>0</v>
      </c>
      <c r="H26" s="12" t="s">
        <v>132</v>
      </c>
      <c r="I26" s="11">
        <v>780</v>
      </c>
      <c r="J26" s="10"/>
      <c r="K26" s="9">
        <v>780</v>
      </c>
      <c r="L26" s="8">
        <f t="shared" si="0"/>
        <v>0</v>
      </c>
    </row>
    <row r="27" spans="1:12" ht="150.75" customHeight="1" thickBot="1" x14ac:dyDescent="0.3">
      <c r="A27" s="47"/>
      <c r="B27" s="24" t="s">
        <v>28</v>
      </c>
      <c r="C27" s="12" t="s">
        <v>34</v>
      </c>
      <c r="D27" s="12" t="s">
        <v>24</v>
      </c>
      <c r="E27" s="13" t="s">
        <v>33</v>
      </c>
      <c r="F27" s="22" t="s">
        <v>4</v>
      </c>
      <c r="G27" s="13" t="s">
        <v>0</v>
      </c>
      <c r="H27" s="12" t="s">
        <v>79</v>
      </c>
      <c r="I27" s="11">
        <v>2000</v>
      </c>
      <c r="J27" s="10"/>
      <c r="K27" s="9">
        <v>2000</v>
      </c>
      <c r="L27" s="8">
        <f t="shared" si="0"/>
        <v>0</v>
      </c>
    </row>
    <row r="28" spans="1:12" ht="150.75" customHeight="1" thickBot="1" x14ac:dyDescent="0.3">
      <c r="A28" s="47"/>
      <c r="B28" s="24" t="s">
        <v>61</v>
      </c>
      <c r="C28" s="12" t="s">
        <v>31</v>
      </c>
      <c r="D28" s="12" t="s">
        <v>24</v>
      </c>
      <c r="E28" s="13" t="s">
        <v>80</v>
      </c>
      <c r="F28" s="22" t="s">
        <v>9</v>
      </c>
      <c r="G28" s="13" t="s">
        <v>0</v>
      </c>
      <c r="H28" s="12" t="s">
        <v>132</v>
      </c>
      <c r="I28" s="11">
        <v>1000</v>
      </c>
      <c r="J28" s="10"/>
      <c r="K28" s="9">
        <v>1000</v>
      </c>
      <c r="L28" s="8">
        <f t="shared" si="0"/>
        <v>0</v>
      </c>
    </row>
    <row r="29" spans="1:12" ht="150.75" customHeight="1" thickBot="1" x14ac:dyDescent="0.3">
      <c r="A29" s="47"/>
      <c r="B29" s="24" t="s">
        <v>61</v>
      </c>
      <c r="C29" s="12" t="s">
        <v>31</v>
      </c>
      <c r="D29" s="12" t="s">
        <v>24</v>
      </c>
      <c r="E29" s="23" t="s">
        <v>71</v>
      </c>
      <c r="F29" s="22" t="s">
        <v>4</v>
      </c>
      <c r="G29" s="13" t="s">
        <v>0</v>
      </c>
      <c r="H29" s="12" t="s">
        <v>132</v>
      </c>
      <c r="I29" s="11">
        <v>1610</v>
      </c>
      <c r="J29" s="10"/>
      <c r="K29" s="9">
        <v>1610</v>
      </c>
      <c r="L29" s="8">
        <f t="shared" si="0"/>
        <v>0</v>
      </c>
    </row>
    <row r="30" spans="1:12" ht="150.75" customHeight="1" thickBot="1" x14ac:dyDescent="0.3">
      <c r="A30" s="47"/>
      <c r="B30" s="24" t="s">
        <v>40</v>
      </c>
      <c r="C30" s="12" t="s">
        <v>15</v>
      </c>
      <c r="D30" s="12" t="s">
        <v>24</v>
      </c>
      <c r="E30" s="23" t="s">
        <v>96</v>
      </c>
      <c r="F30" s="22" t="s">
        <v>4</v>
      </c>
      <c r="G30" s="13" t="s">
        <v>0</v>
      </c>
      <c r="H30" s="12" t="s">
        <v>132</v>
      </c>
      <c r="I30" s="11">
        <v>3047</v>
      </c>
      <c r="J30" s="10"/>
      <c r="K30" s="9">
        <v>3047</v>
      </c>
      <c r="L30" s="8">
        <f t="shared" si="0"/>
        <v>0</v>
      </c>
    </row>
    <row r="31" spans="1:12" ht="150.75" customHeight="1" thickBot="1" x14ac:dyDescent="0.3">
      <c r="A31" s="47"/>
      <c r="B31" s="24" t="s">
        <v>77</v>
      </c>
      <c r="C31" s="12" t="s">
        <v>27</v>
      </c>
      <c r="D31" s="12" t="s">
        <v>24</v>
      </c>
      <c r="E31" s="23" t="s">
        <v>111</v>
      </c>
      <c r="F31" s="22" t="s">
        <v>4</v>
      </c>
      <c r="G31" s="13" t="s">
        <v>0</v>
      </c>
      <c r="H31" s="12" t="s">
        <v>132</v>
      </c>
      <c r="I31" s="11">
        <v>1750</v>
      </c>
      <c r="J31" s="10"/>
      <c r="K31" s="9">
        <v>1750</v>
      </c>
      <c r="L31" s="8">
        <f t="shared" si="0"/>
        <v>0</v>
      </c>
    </row>
    <row r="32" spans="1:12" ht="150.75" customHeight="1" thickBot="1" x14ac:dyDescent="0.3">
      <c r="A32" s="47"/>
      <c r="B32" s="24" t="s">
        <v>157</v>
      </c>
      <c r="C32" s="12" t="s">
        <v>26</v>
      </c>
      <c r="D32" s="12" t="s">
        <v>24</v>
      </c>
      <c r="E32" s="23" t="s">
        <v>25</v>
      </c>
      <c r="F32" s="22" t="s">
        <v>4</v>
      </c>
      <c r="G32" s="13" t="s">
        <v>0</v>
      </c>
      <c r="H32" s="12" t="s">
        <v>79</v>
      </c>
      <c r="I32" s="11">
        <v>1000</v>
      </c>
      <c r="J32" s="10"/>
      <c r="K32" s="9">
        <v>1000</v>
      </c>
      <c r="L32" s="8">
        <f t="shared" si="0"/>
        <v>0</v>
      </c>
    </row>
    <row r="33" spans="1:12" ht="150.75" customHeight="1" thickBot="1" x14ac:dyDescent="0.3">
      <c r="A33" s="47"/>
      <c r="B33" s="24" t="s">
        <v>61</v>
      </c>
      <c r="C33" s="12" t="s">
        <v>31</v>
      </c>
      <c r="D33" s="12" t="s">
        <v>24</v>
      </c>
      <c r="E33" s="13" t="s">
        <v>70</v>
      </c>
      <c r="F33" s="22" t="s">
        <v>4</v>
      </c>
      <c r="G33" s="13" t="s">
        <v>0</v>
      </c>
      <c r="H33" s="12" t="s">
        <v>132</v>
      </c>
      <c r="I33" s="11">
        <v>2000</v>
      </c>
      <c r="J33" s="10">
        <v>1000</v>
      </c>
      <c r="K33" s="9">
        <v>1000</v>
      </c>
      <c r="L33" s="8">
        <f t="shared" si="0"/>
        <v>0</v>
      </c>
    </row>
    <row r="34" spans="1:12" ht="150.75" customHeight="1" thickBot="1" x14ac:dyDescent="0.3">
      <c r="A34" s="47"/>
      <c r="B34" s="24" t="s">
        <v>32</v>
      </c>
      <c r="C34" s="12" t="s">
        <v>31</v>
      </c>
      <c r="D34" s="12" t="s">
        <v>24</v>
      </c>
      <c r="E34" s="13" t="s">
        <v>78</v>
      </c>
      <c r="F34" s="22" t="s">
        <v>4</v>
      </c>
      <c r="G34" s="13" t="s">
        <v>0</v>
      </c>
      <c r="H34" s="12" t="s">
        <v>79</v>
      </c>
      <c r="I34" s="11">
        <v>1000</v>
      </c>
      <c r="J34" s="10"/>
      <c r="K34" s="9">
        <v>1000</v>
      </c>
      <c r="L34" s="8">
        <f t="shared" si="0"/>
        <v>0</v>
      </c>
    </row>
    <row r="35" spans="1:12" ht="150.75" customHeight="1" thickBot="1" x14ac:dyDescent="0.3">
      <c r="A35" s="47"/>
      <c r="B35" s="24" t="s">
        <v>32</v>
      </c>
      <c r="C35" s="12" t="s">
        <v>31</v>
      </c>
      <c r="D35" s="12" t="s">
        <v>24</v>
      </c>
      <c r="E35" s="13" t="s">
        <v>71</v>
      </c>
      <c r="F35" s="22" t="s">
        <v>4</v>
      </c>
      <c r="G35" s="13" t="s">
        <v>0</v>
      </c>
      <c r="H35" s="12" t="s">
        <v>79</v>
      </c>
      <c r="I35" s="11">
        <v>1971</v>
      </c>
      <c r="J35" s="10"/>
      <c r="K35" s="9">
        <v>1971</v>
      </c>
      <c r="L35" s="8">
        <f t="shared" si="0"/>
        <v>0</v>
      </c>
    </row>
    <row r="36" spans="1:12" ht="150.75" customHeight="1" thickBot="1" x14ac:dyDescent="0.3">
      <c r="A36" s="47"/>
      <c r="B36" s="24" t="s">
        <v>40</v>
      </c>
      <c r="C36" s="12" t="s">
        <v>15</v>
      </c>
      <c r="D36" s="12" t="s">
        <v>24</v>
      </c>
      <c r="E36" s="13" t="s">
        <v>96</v>
      </c>
      <c r="F36" s="22" t="s">
        <v>4</v>
      </c>
      <c r="G36" s="13" t="s">
        <v>0</v>
      </c>
      <c r="H36" s="12" t="s">
        <v>79</v>
      </c>
      <c r="I36" s="11">
        <v>1000</v>
      </c>
      <c r="J36" s="10">
        <v>1000</v>
      </c>
      <c r="K36" s="9"/>
      <c r="L36" s="8">
        <f t="shared" si="0"/>
        <v>0</v>
      </c>
    </row>
    <row r="37" spans="1:12" ht="150.75" customHeight="1" thickBot="1" x14ac:dyDescent="0.3">
      <c r="A37" s="47"/>
      <c r="B37" s="24" t="s">
        <v>77</v>
      </c>
      <c r="C37" s="12" t="s">
        <v>27</v>
      </c>
      <c r="D37" s="12" t="s">
        <v>24</v>
      </c>
      <c r="E37" s="13" t="s">
        <v>111</v>
      </c>
      <c r="F37" s="22" t="s">
        <v>4</v>
      </c>
      <c r="G37" s="13" t="s">
        <v>0</v>
      </c>
      <c r="H37" s="12" t="s">
        <v>132</v>
      </c>
      <c r="I37" s="11">
        <v>1000</v>
      </c>
      <c r="J37" s="10"/>
      <c r="K37" s="9">
        <v>1000</v>
      </c>
      <c r="L37" s="8">
        <f t="shared" si="0"/>
        <v>0</v>
      </c>
    </row>
    <row r="38" spans="1:12" ht="150.75" customHeight="1" thickBot="1" x14ac:dyDescent="0.3">
      <c r="A38" s="47"/>
      <c r="B38" s="24" t="s">
        <v>157</v>
      </c>
      <c r="C38" s="12" t="s">
        <v>26</v>
      </c>
      <c r="D38" s="12" t="s">
        <v>24</v>
      </c>
      <c r="E38" s="13" t="s">
        <v>25</v>
      </c>
      <c r="F38" s="22" t="s">
        <v>4</v>
      </c>
      <c r="G38" s="13" t="s">
        <v>0</v>
      </c>
      <c r="H38" s="12" t="s">
        <v>79</v>
      </c>
      <c r="I38" s="11">
        <v>1000</v>
      </c>
      <c r="J38" s="10"/>
      <c r="K38" s="9">
        <v>1000</v>
      </c>
      <c r="L38" s="8">
        <f t="shared" si="0"/>
        <v>0</v>
      </c>
    </row>
    <row r="39" spans="1:12" ht="150.75" customHeight="1" thickBot="1" x14ac:dyDescent="0.3">
      <c r="A39" s="47"/>
      <c r="B39" s="24" t="s">
        <v>157</v>
      </c>
      <c r="C39" s="12" t="s">
        <v>26</v>
      </c>
      <c r="D39" s="12" t="s">
        <v>24</v>
      </c>
      <c r="E39" s="13" t="s">
        <v>59</v>
      </c>
      <c r="F39" s="22" t="s">
        <v>4</v>
      </c>
      <c r="G39" s="13" t="s">
        <v>0</v>
      </c>
      <c r="H39" s="12" t="s">
        <v>79</v>
      </c>
      <c r="I39" s="11">
        <v>1700</v>
      </c>
      <c r="J39" s="10"/>
      <c r="K39" s="9">
        <v>1700</v>
      </c>
      <c r="L39" s="8">
        <f t="shared" si="0"/>
        <v>0</v>
      </c>
    </row>
    <row r="40" spans="1:12" ht="150.75" customHeight="1" thickBot="1" x14ac:dyDescent="0.3">
      <c r="A40" s="48"/>
      <c r="B40" s="24" t="s">
        <v>112</v>
      </c>
      <c r="C40" s="12" t="s">
        <v>113</v>
      </c>
      <c r="D40" s="12" t="s">
        <v>24</v>
      </c>
      <c r="E40" s="13" t="s">
        <v>115</v>
      </c>
      <c r="F40" s="22" t="s">
        <v>9</v>
      </c>
      <c r="G40" s="13" t="s">
        <v>0</v>
      </c>
      <c r="H40" s="12" t="s">
        <v>79</v>
      </c>
      <c r="I40" s="11">
        <v>1500</v>
      </c>
      <c r="J40" s="10"/>
      <c r="K40" s="9">
        <v>1500</v>
      </c>
      <c r="L40" s="8">
        <f t="shared" si="0"/>
        <v>0</v>
      </c>
    </row>
    <row r="41" spans="1:12" ht="150.75" customHeight="1" thickBot="1" x14ac:dyDescent="0.3">
      <c r="A41" s="46" t="s">
        <v>23</v>
      </c>
      <c r="B41" s="24" t="s">
        <v>21</v>
      </c>
      <c r="C41" s="12" t="s">
        <v>118</v>
      </c>
      <c r="D41" s="12" t="s">
        <v>20</v>
      </c>
      <c r="E41" s="23" t="s">
        <v>119</v>
      </c>
      <c r="F41" s="22" t="s">
        <v>4</v>
      </c>
      <c r="G41" s="13" t="s">
        <v>0</v>
      </c>
      <c r="H41" s="12" t="s">
        <v>132</v>
      </c>
      <c r="I41" s="11">
        <v>2360</v>
      </c>
      <c r="J41" s="10"/>
      <c r="K41" s="9">
        <v>2360</v>
      </c>
      <c r="L41" s="8">
        <f t="shared" si="0"/>
        <v>0</v>
      </c>
    </row>
    <row r="42" spans="1:12" ht="150.75" customHeight="1" thickBot="1" x14ac:dyDescent="0.3">
      <c r="A42" s="47"/>
      <c r="B42" s="24" t="s">
        <v>21</v>
      </c>
      <c r="C42" s="12" t="s">
        <v>3</v>
      </c>
      <c r="D42" s="12" t="s">
        <v>20</v>
      </c>
      <c r="E42" s="23" t="s">
        <v>56</v>
      </c>
      <c r="F42" s="22" t="s">
        <v>4</v>
      </c>
      <c r="G42" s="13" t="s">
        <v>0</v>
      </c>
      <c r="H42" s="12" t="s">
        <v>132</v>
      </c>
      <c r="I42" s="11">
        <v>200</v>
      </c>
      <c r="J42" s="10"/>
      <c r="K42" s="9">
        <v>200</v>
      </c>
      <c r="L42" s="8">
        <f t="shared" si="0"/>
        <v>0</v>
      </c>
    </row>
    <row r="43" spans="1:12" ht="150.75" customHeight="1" thickBot="1" x14ac:dyDescent="0.3">
      <c r="A43" s="48"/>
      <c r="B43" s="24" t="s">
        <v>12</v>
      </c>
      <c r="C43" s="12" t="s">
        <v>6</v>
      </c>
      <c r="D43" s="12" t="s">
        <v>20</v>
      </c>
      <c r="E43" s="13" t="s">
        <v>22</v>
      </c>
      <c r="F43" s="22" t="s">
        <v>4</v>
      </c>
      <c r="G43" s="13" t="s">
        <v>0</v>
      </c>
      <c r="H43" s="12" t="s">
        <v>79</v>
      </c>
      <c r="I43" s="11">
        <v>2000</v>
      </c>
      <c r="J43" s="10"/>
      <c r="K43" s="9">
        <v>2000</v>
      </c>
      <c r="L43" s="8">
        <f t="shared" si="0"/>
        <v>0</v>
      </c>
    </row>
    <row r="44" spans="1:12" ht="150.75" customHeight="1" thickBot="1" x14ac:dyDescent="0.3">
      <c r="A44" s="46" t="s">
        <v>54</v>
      </c>
      <c r="B44" s="24" t="s">
        <v>67</v>
      </c>
      <c r="C44" s="12" t="s">
        <v>158</v>
      </c>
      <c r="D44" s="12" t="s">
        <v>60</v>
      </c>
      <c r="E44" s="13" t="s">
        <v>159</v>
      </c>
      <c r="F44" s="22" t="s">
        <v>9</v>
      </c>
      <c r="G44" s="13" t="s">
        <v>0</v>
      </c>
      <c r="H44" s="12" t="s">
        <v>79</v>
      </c>
      <c r="I44" s="11">
        <v>1</v>
      </c>
      <c r="J44" s="10"/>
      <c r="K44" s="9">
        <v>1</v>
      </c>
      <c r="L44" s="8">
        <f t="shared" si="0"/>
        <v>0</v>
      </c>
    </row>
    <row r="45" spans="1:12" ht="150.75" customHeight="1" thickBot="1" x14ac:dyDescent="0.3">
      <c r="A45" s="47"/>
      <c r="B45" s="24" t="s">
        <v>67</v>
      </c>
      <c r="C45" s="12" t="s">
        <v>68</v>
      </c>
      <c r="D45" s="12" t="s">
        <v>60</v>
      </c>
      <c r="E45" s="13" t="s">
        <v>160</v>
      </c>
      <c r="F45" s="22" t="s">
        <v>102</v>
      </c>
      <c r="G45" s="13" t="s">
        <v>37</v>
      </c>
      <c r="H45" s="12" t="s">
        <v>79</v>
      </c>
      <c r="I45" s="11">
        <v>95</v>
      </c>
      <c r="J45" s="10"/>
      <c r="K45" s="9">
        <v>95</v>
      </c>
      <c r="L45" s="8">
        <f t="shared" si="0"/>
        <v>0</v>
      </c>
    </row>
    <row r="46" spans="1:12" ht="150.75" customHeight="1" thickBot="1" x14ac:dyDescent="0.3">
      <c r="A46" s="48"/>
      <c r="B46" s="24" t="s">
        <v>67</v>
      </c>
      <c r="C46" s="12" t="s">
        <v>68</v>
      </c>
      <c r="D46" s="12" t="s">
        <v>60</v>
      </c>
      <c r="E46" s="13" t="s">
        <v>161</v>
      </c>
      <c r="F46" s="22" t="s">
        <v>102</v>
      </c>
      <c r="G46" s="13" t="s">
        <v>37</v>
      </c>
      <c r="H46" s="12" t="s">
        <v>79</v>
      </c>
      <c r="I46" s="11">
        <v>1</v>
      </c>
      <c r="J46" s="10"/>
      <c r="K46" s="9">
        <v>1</v>
      </c>
      <c r="L46" s="8">
        <f t="shared" si="0"/>
        <v>0</v>
      </c>
    </row>
    <row r="47" spans="1:12" ht="150.75" customHeight="1" thickBot="1" x14ac:dyDescent="0.3">
      <c r="A47" s="46" t="s">
        <v>19</v>
      </c>
      <c r="B47" s="24" t="s">
        <v>7</v>
      </c>
      <c r="C47" s="12" t="s">
        <v>15</v>
      </c>
      <c r="D47" s="12" t="s">
        <v>14</v>
      </c>
      <c r="E47" s="13" t="s">
        <v>13</v>
      </c>
      <c r="F47" s="22" t="s">
        <v>4</v>
      </c>
      <c r="G47" s="13" t="s">
        <v>0</v>
      </c>
      <c r="H47" s="12" t="s">
        <v>79</v>
      </c>
      <c r="I47" s="11">
        <v>2000</v>
      </c>
      <c r="J47" s="10">
        <v>1000</v>
      </c>
      <c r="K47" s="9">
        <v>1000</v>
      </c>
      <c r="L47" s="8">
        <f t="shared" si="0"/>
        <v>0</v>
      </c>
    </row>
    <row r="48" spans="1:12" ht="150.75" customHeight="1" thickBot="1" x14ac:dyDescent="0.3">
      <c r="A48" s="47"/>
      <c r="B48" s="24" t="s">
        <v>7</v>
      </c>
      <c r="C48" s="12" t="s">
        <v>15</v>
      </c>
      <c r="D48" s="12" t="s">
        <v>14</v>
      </c>
      <c r="E48" s="13" t="s">
        <v>65</v>
      </c>
      <c r="F48" s="22" t="s">
        <v>4</v>
      </c>
      <c r="G48" s="13" t="s">
        <v>0</v>
      </c>
      <c r="H48" s="12" t="s">
        <v>79</v>
      </c>
      <c r="I48" s="11">
        <v>2000</v>
      </c>
      <c r="J48" s="10">
        <v>1000</v>
      </c>
      <c r="K48" s="9">
        <v>1000</v>
      </c>
      <c r="L48" s="8">
        <f t="shared" si="0"/>
        <v>0</v>
      </c>
    </row>
    <row r="49" spans="1:12" ht="150.75" customHeight="1" thickBot="1" x14ac:dyDescent="0.3">
      <c r="A49" s="47"/>
      <c r="B49" s="24" t="s">
        <v>12</v>
      </c>
      <c r="C49" s="12" t="s">
        <v>118</v>
      </c>
      <c r="D49" s="12" t="s">
        <v>123</v>
      </c>
      <c r="E49" s="13" t="s">
        <v>124</v>
      </c>
      <c r="F49" s="22" t="s">
        <v>9</v>
      </c>
      <c r="G49" s="13" t="s">
        <v>0</v>
      </c>
      <c r="H49" s="12" t="s">
        <v>132</v>
      </c>
      <c r="I49" s="11">
        <v>3000</v>
      </c>
      <c r="J49" s="10">
        <v>1000</v>
      </c>
      <c r="K49" s="9">
        <v>2000</v>
      </c>
      <c r="L49" s="8">
        <f t="shared" si="0"/>
        <v>0</v>
      </c>
    </row>
    <row r="50" spans="1:12" ht="150.75" customHeight="1" thickBot="1" x14ac:dyDescent="0.3">
      <c r="A50" s="47"/>
      <c r="B50" s="24" t="s">
        <v>12</v>
      </c>
      <c r="C50" s="12" t="s">
        <v>3</v>
      </c>
      <c r="D50" s="12" t="s">
        <v>11</v>
      </c>
      <c r="E50" s="13" t="s">
        <v>10</v>
      </c>
      <c r="F50" s="22" t="s">
        <v>4</v>
      </c>
      <c r="G50" s="13" t="s">
        <v>0</v>
      </c>
      <c r="H50" s="12" t="s">
        <v>79</v>
      </c>
      <c r="I50" s="11">
        <v>3000</v>
      </c>
      <c r="J50" s="10">
        <v>3000</v>
      </c>
      <c r="K50" s="9"/>
      <c r="L50" s="8">
        <f t="shared" si="0"/>
        <v>0</v>
      </c>
    </row>
    <row r="51" spans="1:12" ht="150.75" customHeight="1" thickBot="1" x14ac:dyDescent="0.3">
      <c r="A51" s="47"/>
      <c r="B51" s="24" t="s">
        <v>7</v>
      </c>
      <c r="C51" s="12" t="s">
        <v>15</v>
      </c>
      <c r="D51" s="12" t="s">
        <v>14</v>
      </c>
      <c r="E51" s="23" t="s">
        <v>13</v>
      </c>
      <c r="F51" s="22" t="s">
        <v>4</v>
      </c>
      <c r="G51" s="13" t="s">
        <v>0</v>
      </c>
      <c r="H51" s="12" t="s">
        <v>132</v>
      </c>
      <c r="I51" s="11">
        <v>1000</v>
      </c>
      <c r="J51" s="10"/>
      <c r="K51" s="9">
        <v>1000</v>
      </c>
      <c r="L51" s="8">
        <f t="shared" si="0"/>
        <v>0</v>
      </c>
    </row>
    <row r="52" spans="1:12" ht="150.75" customHeight="1" thickBot="1" x14ac:dyDescent="0.3">
      <c r="A52" s="47"/>
      <c r="B52" s="24" t="s">
        <v>7</v>
      </c>
      <c r="C52" s="12" t="s">
        <v>15</v>
      </c>
      <c r="D52" s="12" t="s">
        <v>14</v>
      </c>
      <c r="E52" s="23" t="s">
        <v>65</v>
      </c>
      <c r="F52" s="22" t="s">
        <v>4</v>
      </c>
      <c r="G52" s="13" t="s">
        <v>0</v>
      </c>
      <c r="H52" s="12" t="s">
        <v>132</v>
      </c>
      <c r="I52" s="11">
        <v>3638</v>
      </c>
      <c r="J52" s="10"/>
      <c r="K52" s="9">
        <v>3638</v>
      </c>
      <c r="L52" s="8">
        <f t="shared" si="0"/>
        <v>0</v>
      </c>
    </row>
    <row r="53" spans="1:12" ht="150.75" customHeight="1" thickBot="1" x14ac:dyDescent="0.3">
      <c r="A53" s="47"/>
      <c r="B53" s="24" t="s">
        <v>12</v>
      </c>
      <c r="C53" s="12" t="s">
        <v>3</v>
      </c>
      <c r="D53" s="12" t="s">
        <v>11</v>
      </c>
      <c r="E53" s="23" t="s">
        <v>10</v>
      </c>
      <c r="F53" s="22" t="s">
        <v>4</v>
      </c>
      <c r="G53" s="13" t="s">
        <v>0</v>
      </c>
      <c r="H53" s="12" t="s">
        <v>132</v>
      </c>
      <c r="I53" s="11">
        <v>5393</v>
      </c>
      <c r="J53" s="10"/>
      <c r="K53" s="9">
        <v>5393</v>
      </c>
      <c r="L53" s="8">
        <f t="shared" si="0"/>
        <v>0</v>
      </c>
    </row>
    <row r="54" spans="1:12" ht="150.75" customHeight="1" thickBot="1" x14ac:dyDescent="0.3">
      <c r="A54" s="47"/>
      <c r="B54" s="24" t="s">
        <v>12</v>
      </c>
      <c r="C54" s="12" t="s">
        <v>3</v>
      </c>
      <c r="D54" s="12" t="s">
        <v>11</v>
      </c>
      <c r="E54" s="13" t="s">
        <v>10</v>
      </c>
      <c r="F54" s="22" t="s">
        <v>9</v>
      </c>
      <c r="G54" s="13" t="s">
        <v>0</v>
      </c>
      <c r="H54" s="12" t="s">
        <v>132</v>
      </c>
      <c r="I54" s="11">
        <v>8000</v>
      </c>
      <c r="J54" s="10"/>
      <c r="K54" s="9">
        <v>8000</v>
      </c>
      <c r="L54" s="8">
        <f t="shared" si="0"/>
        <v>0</v>
      </c>
    </row>
    <row r="55" spans="1:12" ht="150.75" customHeight="1" thickBot="1" x14ac:dyDescent="0.3">
      <c r="A55" s="47"/>
      <c r="B55" s="24" t="s">
        <v>7</v>
      </c>
      <c r="C55" s="12" t="s">
        <v>6</v>
      </c>
      <c r="D55" s="12" t="s">
        <v>1</v>
      </c>
      <c r="E55" s="13" t="s">
        <v>5</v>
      </c>
      <c r="F55" s="22" t="s">
        <v>9</v>
      </c>
      <c r="G55" s="13" t="s">
        <v>0</v>
      </c>
      <c r="H55" s="12" t="s">
        <v>132</v>
      </c>
      <c r="I55" s="11">
        <v>5000</v>
      </c>
      <c r="J55" s="10">
        <v>2000</v>
      </c>
      <c r="K55" s="9">
        <v>3000</v>
      </c>
      <c r="L55" s="8">
        <f t="shared" si="0"/>
        <v>0</v>
      </c>
    </row>
    <row r="56" spans="1:12" ht="150.75" customHeight="1" thickBot="1" x14ac:dyDescent="0.3">
      <c r="A56" s="48"/>
      <c r="B56" s="24" t="s">
        <v>7</v>
      </c>
      <c r="C56" s="12" t="s">
        <v>6</v>
      </c>
      <c r="D56" s="12" t="s">
        <v>1</v>
      </c>
      <c r="E56" s="13" t="s">
        <v>5</v>
      </c>
      <c r="F56" s="22" t="s">
        <v>4</v>
      </c>
      <c r="G56" s="13" t="s">
        <v>0</v>
      </c>
      <c r="H56" s="12" t="s">
        <v>132</v>
      </c>
      <c r="I56" s="11">
        <v>3000</v>
      </c>
      <c r="J56" s="10"/>
      <c r="K56" s="9">
        <v>3000</v>
      </c>
      <c r="L56" s="8">
        <f t="shared" si="0"/>
        <v>0</v>
      </c>
    </row>
    <row r="57" spans="1:12" x14ac:dyDescent="0.25">
      <c r="K57" s="3" t="s">
        <v>129</v>
      </c>
    </row>
    <row r="126" spans="1:11" s="2" customFormat="1" x14ac:dyDescent="0.25">
      <c r="A126" s="7"/>
      <c r="B126" s="5"/>
      <c r="C126" s="7"/>
      <c r="D126" s="6"/>
      <c r="E126" s="5"/>
      <c r="F126" s="6"/>
      <c r="G126" s="5"/>
      <c r="H126" s="5"/>
      <c r="I126" s="5"/>
      <c r="J126" s="4"/>
      <c r="K126" s="3" t="s">
        <v>148</v>
      </c>
    </row>
  </sheetData>
  <autoFilter ref="A2:L57"/>
  <dataConsolidate/>
  <mergeCells count="6">
    <mergeCell ref="A1:L1"/>
    <mergeCell ref="A3:A24"/>
    <mergeCell ref="A25:A40"/>
    <mergeCell ref="A44:A46"/>
    <mergeCell ref="A47:A56"/>
    <mergeCell ref="A41:A43"/>
  </mergeCells>
  <conditionalFormatting sqref="I2:I56 K3:L56">
    <cfRule type="cellIs" dxfId="169" priority="2" operator="lessThan">
      <formula>0</formula>
    </cfRule>
  </conditionalFormatting>
  <conditionalFormatting sqref="L2">
    <cfRule type="cellIs" dxfId="168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97"/>
  <sheetViews>
    <sheetView showGridLines="0" view="pageBreakPreview" topLeftCell="A13" zoomScale="20" zoomScaleNormal="27" zoomScaleSheetLayoutView="20" workbookViewId="0">
      <selection activeCell="K46" sqref="K46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168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218.25" customHeight="1" thickBot="1" x14ac:dyDescent="0.3">
      <c r="A3" s="46" t="s">
        <v>41</v>
      </c>
      <c r="B3" s="13" t="s">
        <v>136</v>
      </c>
      <c r="C3" s="12" t="s">
        <v>118</v>
      </c>
      <c r="D3" s="12" t="s">
        <v>126</v>
      </c>
      <c r="E3" s="13" t="s">
        <v>169</v>
      </c>
      <c r="F3" s="22" t="s">
        <v>122</v>
      </c>
      <c r="G3" s="13" t="s">
        <v>0</v>
      </c>
      <c r="H3" s="12" t="s">
        <v>132</v>
      </c>
      <c r="I3" s="11">
        <v>2000</v>
      </c>
      <c r="J3" s="10">
        <v>1000</v>
      </c>
      <c r="K3" s="9">
        <v>1000</v>
      </c>
      <c r="L3" s="8">
        <f t="shared" ref="L3:L45" si="0">K3+J3-I3</f>
        <v>0</v>
      </c>
    </row>
    <row r="4" spans="1:12" ht="218.25" customHeight="1" thickBot="1" x14ac:dyDescent="0.3">
      <c r="A4" s="47"/>
      <c r="B4" s="13" t="s">
        <v>95</v>
      </c>
      <c r="C4" s="12" t="s">
        <v>15</v>
      </c>
      <c r="D4" s="12" t="s">
        <v>24</v>
      </c>
      <c r="E4" s="13" t="s">
        <v>96</v>
      </c>
      <c r="F4" s="22" t="s">
        <v>4</v>
      </c>
      <c r="G4" s="13" t="s">
        <v>0</v>
      </c>
      <c r="H4" s="12" t="s">
        <v>132</v>
      </c>
      <c r="I4" s="11">
        <v>2047</v>
      </c>
      <c r="J4" s="10"/>
      <c r="K4" s="9">
        <v>2047</v>
      </c>
      <c r="L4" s="8">
        <f t="shared" si="0"/>
        <v>0</v>
      </c>
    </row>
    <row r="5" spans="1:12" ht="218.25" customHeight="1" thickBot="1" x14ac:dyDescent="0.3">
      <c r="A5" s="47"/>
      <c r="B5" s="13" t="s">
        <v>95</v>
      </c>
      <c r="C5" s="12" t="s">
        <v>15</v>
      </c>
      <c r="D5" s="12" t="s">
        <v>24</v>
      </c>
      <c r="E5" s="13" t="s">
        <v>96</v>
      </c>
      <c r="F5" s="22" t="s">
        <v>4</v>
      </c>
      <c r="G5" s="13" t="s">
        <v>0</v>
      </c>
      <c r="H5" s="12" t="s">
        <v>132</v>
      </c>
      <c r="I5" s="11">
        <v>1000</v>
      </c>
      <c r="J5" s="10"/>
      <c r="K5" s="9">
        <v>1000</v>
      </c>
      <c r="L5" s="8">
        <f t="shared" si="0"/>
        <v>0</v>
      </c>
    </row>
    <row r="6" spans="1:12" ht="218.25" customHeight="1" thickBot="1" x14ac:dyDescent="0.3">
      <c r="A6" s="47"/>
      <c r="B6" s="13" t="s">
        <v>38</v>
      </c>
      <c r="C6" s="12" t="s">
        <v>27</v>
      </c>
      <c r="D6" s="12" t="s">
        <v>24</v>
      </c>
      <c r="E6" s="13" t="s">
        <v>55</v>
      </c>
      <c r="F6" s="22" t="s">
        <v>9</v>
      </c>
      <c r="G6" s="13" t="s">
        <v>0</v>
      </c>
      <c r="H6" s="12" t="s">
        <v>181</v>
      </c>
      <c r="I6" s="11">
        <v>2000</v>
      </c>
      <c r="J6" s="10"/>
      <c r="K6" s="9">
        <v>2000</v>
      </c>
      <c r="L6" s="8">
        <f t="shared" si="0"/>
        <v>0</v>
      </c>
    </row>
    <row r="7" spans="1:12" ht="218.25" customHeight="1" thickBot="1" x14ac:dyDescent="0.3">
      <c r="A7" s="47"/>
      <c r="B7" s="13" t="s">
        <v>38</v>
      </c>
      <c r="C7" s="12" t="s">
        <v>27</v>
      </c>
      <c r="D7" s="12" t="s">
        <v>24</v>
      </c>
      <c r="E7" s="13" t="s">
        <v>76</v>
      </c>
      <c r="F7" s="22" t="s">
        <v>4</v>
      </c>
      <c r="G7" s="13" t="s">
        <v>0</v>
      </c>
      <c r="H7" s="12" t="s">
        <v>132</v>
      </c>
      <c r="I7" s="11">
        <v>1000</v>
      </c>
      <c r="J7" s="10"/>
      <c r="K7" s="9">
        <v>1000</v>
      </c>
      <c r="L7" s="8">
        <f t="shared" si="0"/>
        <v>0</v>
      </c>
    </row>
    <row r="8" spans="1:12" ht="218.25" customHeight="1" thickBot="1" x14ac:dyDescent="0.3">
      <c r="A8" s="47"/>
      <c r="B8" s="13" t="s">
        <v>38</v>
      </c>
      <c r="C8" s="12" t="s">
        <v>27</v>
      </c>
      <c r="D8" s="12" t="s">
        <v>24</v>
      </c>
      <c r="E8" s="13" t="s">
        <v>76</v>
      </c>
      <c r="F8" s="22" t="s">
        <v>4</v>
      </c>
      <c r="G8" s="13" t="s">
        <v>0</v>
      </c>
      <c r="H8" s="12" t="s">
        <v>132</v>
      </c>
      <c r="I8" s="11">
        <v>1274</v>
      </c>
      <c r="J8" s="10"/>
      <c r="K8" s="9">
        <v>1274</v>
      </c>
      <c r="L8" s="8">
        <f t="shared" si="0"/>
        <v>0</v>
      </c>
    </row>
    <row r="9" spans="1:12" ht="218.25" customHeight="1" thickBot="1" x14ac:dyDescent="0.3">
      <c r="A9" s="47"/>
      <c r="B9" s="13" t="s">
        <v>112</v>
      </c>
      <c r="C9" s="12" t="s">
        <v>113</v>
      </c>
      <c r="D9" s="12" t="s">
        <v>24</v>
      </c>
      <c r="E9" s="13" t="s">
        <v>170</v>
      </c>
      <c r="F9" s="22" t="s">
        <v>4</v>
      </c>
      <c r="G9" s="13" t="s">
        <v>0</v>
      </c>
      <c r="H9" s="12" t="s">
        <v>132</v>
      </c>
      <c r="I9" s="11">
        <v>998</v>
      </c>
      <c r="J9" s="10"/>
      <c r="K9" s="9">
        <v>998</v>
      </c>
      <c r="L9" s="8">
        <f t="shared" si="0"/>
        <v>0</v>
      </c>
    </row>
    <row r="10" spans="1:12" ht="218.25" customHeight="1" thickBot="1" x14ac:dyDescent="0.3">
      <c r="A10" s="47"/>
      <c r="B10" s="13" t="s">
        <v>112</v>
      </c>
      <c r="C10" s="12" t="s">
        <v>113</v>
      </c>
      <c r="D10" s="12" t="s">
        <v>24</v>
      </c>
      <c r="E10" s="13" t="s">
        <v>115</v>
      </c>
      <c r="F10" s="22" t="s">
        <v>9</v>
      </c>
      <c r="G10" s="13" t="s">
        <v>0</v>
      </c>
      <c r="H10" s="12" t="s">
        <v>132</v>
      </c>
      <c r="I10" s="11">
        <v>1000</v>
      </c>
      <c r="J10" s="10"/>
      <c r="K10" s="9">
        <v>1000</v>
      </c>
      <c r="L10" s="8">
        <f t="shared" si="0"/>
        <v>0</v>
      </c>
    </row>
    <row r="11" spans="1:12" ht="218.25" customHeight="1" thickBot="1" x14ac:dyDescent="0.3">
      <c r="A11" s="47"/>
      <c r="B11" s="13" t="s">
        <v>32</v>
      </c>
      <c r="C11" s="12" t="s">
        <v>31</v>
      </c>
      <c r="D11" s="12" t="s">
        <v>24</v>
      </c>
      <c r="E11" s="13" t="s">
        <v>78</v>
      </c>
      <c r="F11" s="22" t="s">
        <v>4</v>
      </c>
      <c r="G11" s="13" t="s">
        <v>8</v>
      </c>
      <c r="H11" s="12" t="s">
        <v>79</v>
      </c>
      <c r="I11" s="11">
        <v>100</v>
      </c>
      <c r="J11" s="10"/>
      <c r="K11" s="9">
        <v>100</v>
      </c>
      <c r="L11" s="8">
        <f t="shared" si="0"/>
        <v>0</v>
      </c>
    </row>
    <row r="12" spans="1:12" ht="218.25" customHeight="1" thickBot="1" x14ac:dyDescent="0.3">
      <c r="A12" s="47"/>
      <c r="B12" s="13" t="s">
        <v>32</v>
      </c>
      <c r="C12" s="12" t="s">
        <v>31</v>
      </c>
      <c r="D12" s="12" t="s">
        <v>24</v>
      </c>
      <c r="E12" s="13" t="s">
        <v>78</v>
      </c>
      <c r="F12" s="22" t="s">
        <v>4</v>
      </c>
      <c r="G12" s="13" t="s">
        <v>8</v>
      </c>
      <c r="H12" s="12" t="s">
        <v>132</v>
      </c>
      <c r="I12" s="11">
        <v>300</v>
      </c>
      <c r="J12" s="10"/>
      <c r="K12" s="9">
        <v>300</v>
      </c>
      <c r="L12" s="8">
        <f t="shared" si="0"/>
        <v>0</v>
      </c>
    </row>
    <row r="13" spans="1:12" ht="218.25" customHeight="1" thickBot="1" x14ac:dyDescent="0.3">
      <c r="A13" s="47"/>
      <c r="B13" s="24" t="s">
        <v>32</v>
      </c>
      <c r="C13" s="12" t="s">
        <v>31</v>
      </c>
      <c r="D13" s="12" t="s">
        <v>24</v>
      </c>
      <c r="E13" s="13" t="s">
        <v>71</v>
      </c>
      <c r="F13" s="22" t="s">
        <v>4</v>
      </c>
      <c r="G13" s="13" t="s">
        <v>0</v>
      </c>
      <c r="H13" s="12" t="s">
        <v>132</v>
      </c>
      <c r="I13" s="11">
        <v>1110</v>
      </c>
      <c r="J13" s="10"/>
      <c r="K13" s="9">
        <v>1110</v>
      </c>
      <c r="L13" s="8">
        <f t="shared" si="0"/>
        <v>0</v>
      </c>
    </row>
    <row r="14" spans="1:12" ht="218.25" customHeight="1" thickBot="1" x14ac:dyDescent="0.3">
      <c r="A14" s="47"/>
      <c r="B14" s="24" t="s">
        <v>32</v>
      </c>
      <c r="C14" s="12" t="s">
        <v>31</v>
      </c>
      <c r="D14" s="12" t="s">
        <v>24</v>
      </c>
      <c r="E14" s="13" t="s">
        <v>171</v>
      </c>
      <c r="F14" s="22" t="s">
        <v>4</v>
      </c>
      <c r="G14" s="13" t="s">
        <v>0</v>
      </c>
      <c r="H14" s="12" t="s">
        <v>132</v>
      </c>
      <c r="I14" s="11">
        <v>2099</v>
      </c>
      <c r="J14" s="10"/>
      <c r="K14" s="9">
        <v>2099</v>
      </c>
      <c r="L14" s="8">
        <f t="shared" si="0"/>
        <v>0</v>
      </c>
    </row>
    <row r="15" spans="1:12" ht="218.25" customHeight="1" thickBot="1" x14ac:dyDescent="0.3">
      <c r="A15" s="47"/>
      <c r="B15" s="24" t="s">
        <v>32</v>
      </c>
      <c r="C15" s="12" t="s">
        <v>31</v>
      </c>
      <c r="D15" s="12" t="s">
        <v>24</v>
      </c>
      <c r="E15" s="13" t="s">
        <v>154</v>
      </c>
      <c r="F15" s="22" t="s">
        <v>4</v>
      </c>
      <c r="G15" s="13" t="s">
        <v>0</v>
      </c>
      <c r="H15" s="12" t="s">
        <v>132</v>
      </c>
      <c r="I15" s="11">
        <v>430</v>
      </c>
      <c r="J15" s="10"/>
      <c r="K15" s="9">
        <v>430</v>
      </c>
      <c r="L15" s="8">
        <f t="shared" si="0"/>
        <v>0</v>
      </c>
    </row>
    <row r="16" spans="1:12" ht="218.25" customHeight="1" thickBot="1" x14ac:dyDescent="0.3">
      <c r="A16" s="47"/>
      <c r="B16" s="24" t="s">
        <v>32</v>
      </c>
      <c r="C16" s="12" t="s">
        <v>31</v>
      </c>
      <c r="D16" s="12" t="s">
        <v>24</v>
      </c>
      <c r="E16" s="13" t="s">
        <v>71</v>
      </c>
      <c r="F16" s="22" t="s">
        <v>4</v>
      </c>
      <c r="G16" s="13" t="s">
        <v>0</v>
      </c>
      <c r="H16" s="12" t="s">
        <v>132</v>
      </c>
      <c r="I16" s="11">
        <v>1000</v>
      </c>
      <c r="J16" s="10"/>
      <c r="K16" s="9">
        <v>1000</v>
      </c>
      <c r="L16" s="8">
        <f t="shared" si="0"/>
        <v>0</v>
      </c>
    </row>
    <row r="17" spans="1:12" ht="218.25" customHeight="1" thickBot="1" x14ac:dyDescent="0.3">
      <c r="A17" s="47"/>
      <c r="B17" s="24" t="s">
        <v>32</v>
      </c>
      <c r="C17" s="12" t="s">
        <v>31</v>
      </c>
      <c r="D17" s="12" t="s">
        <v>24</v>
      </c>
      <c r="E17" s="13" t="s">
        <v>154</v>
      </c>
      <c r="F17" s="22" t="s">
        <v>4</v>
      </c>
      <c r="G17" s="13" t="s">
        <v>0</v>
      </c>
      <c r="H17" s="12" t="s">
        <v>132</v>
      </c>
      <c r="I17" s="11">
        <v>500</v>
      </c>
      <c r="J17" s="10"/>
      <c r="K17" s="9">
        <v>500</v>
      </c>
      <c r="L17" s="8">
        <f t="shared" si="0"/>
        <v>0</v>
      </c>
    </row>
    <row r="18" spans="1:12" ht="218.25" customHeight="1" thickBot="1" x14ac:dyDescent="0.3">
      <c r="A18" s="48"/>
      <c r="B18" s="24" t="s">
        <v>28</v>
      </c>
      <c r="C18" s="12" t="s">
        <v>155</v>
      </c>
      <c r="D18" s="12" t="s">
        <v>24</v>
      </c>
      <c r="E18" s="13" t="s">
        <v>156</v>
      </c>
      <c r="F18" s="22" t="s">
        <v>4</v>
      </c>
      <c r="G18" s="13" t="s">
        <v>0</v>
      </c>
      <c r="H18" s="12" t="s">
        <v>132</v>
      </c>
      <c r="I18" s="11">
        <v>1000</v>
      </c>
      <c r="J18" s="10"/>
      <c r="K18" s="9">
        <v>1000</v>
      </c>
      <c r="L18" s="8">
        <f t="shared" si="0"/>
        <v>0</v>
      </c>
    </row>
    <row r="19" spans="1:12" ht="218.25" customHeight="1" thickBot="1" x14ac:dyDescent="0.3">
      <c r="A19" s="46" t="s">
        <v>36</v>
      </c>
      <c r="B19" s="24" t="s">
        <v>35</v>
      </c>
      <c r="C19" s="12" t="s">
        <v>155</v>
      </c>
      <c r="D19" s="12" t="s">
        <v>24</v>
      </c>
      <c r="E19" s="13" t="s">
        <v>156</v>
      </c>
      <c r="F19" s="25" t="s">
        <v>4</v>
      </c>
      <c r="G19" s="13" t="s">
        <v>0</v>
      </c>
      <c r="H19" s="12" t="s">
        <v>132</v>
      </c>
      <c r="I19" s="11">
        <v>2000</v>
      </c>
      <c r="J19" s="10"/>
      <c r="K19" s="9">
        <v>2000</v>
      </c>
      <c r="L19" s="8">
        <f t="shared" si="0"/>
        <v>0</v>
      </c>
    </row>
    <row r="20" spans="1:12" ht="218.25" customHeight="1" thickBot="1" x14ac:dyDescent="0.3">
      <c r="A20" s="47"/>
      <c r="B20" s="24" t="s">
        <v>61</v>
      </c>
      <c r="C20" s="12" t="s">
        <v>31</v>
      </c>
      <c r="D20" s="12" t="s">
        <v>24</v>
      </c>
      <c r="E20" s="13" t="s">
        <v>171</v>
      </c>
      <c r="F20" s="22" t="s">
        <v>4</v>
      </c>
      <c r="G20" s="13" t="s">
        <v>0</v>
      </c>
      <c r="H20" s="12" t="s">
        <v>132</v>
      </c>
      <c r="I20" s="11">
        <v>2099</v>
      </c>
      <c r="J20" s="10"/>
      <c r="K20" s="9">
        <v>2099</v>
      </c>
      <c r="L20" s="8">
        <f t="shared" si="0"/>
        <v>0</v>
      </c>
    </row>
    <row r="21" spans="1:12" ht="218.25" customHeight="1" thickBot="1" x14ac:dyDescent="0.3">
      <c r="A21" s="47"/>
      <c r="B21" s="24" t="s">
        <v>61</v>
      </c>
      <c r="C21" s="12" t="s">
        <v>31</v>
      </c>
      <c r="D21" s="12" t="s">
        <v>24</v>
      </c>
      <c r="E21" s="13" t="s">
        <v>71</v>
      </c>
      <c r="F21" s="22" t="s">
        <v>4</v>
      </c>
      <c r="G21" s="13" t="s">
        <v>0</v>
      </c>
      <c r="H21" s="12" t="s">
        <v>132</v>
      </c>
      <c r="I21" s="11">
        <v>2000</v>
      </c>
      <c r="J21" s="10"/>
      <c r="K21" s="9">
        <v>2000</v>
      </c>
      <c r="L21" s="8">
        <f t="shared" si="0"/>
        <v>0</v>
      </c>
    </row>
    <row r="22" spans="1:12" ht="218.25" customHeight="1" thickBot="1" x14ac:dyDescent="0.3">
      <c r="A22" s="47"/>
      <c r="B22" s="24" t="s">
        <v>32</v>
      </c>
      <c r="C22" s="12" t="s">
        <v>31</v>
      </c>
      <c r="D22" s="12" t="s">
        <v>24</v>
      </c>
      <c r="E22" s="13" t="s">
        <v>71</v>
      </c>
      <c r="F22" s="22" t="s">
        <v>4</v>
      </c>
      <c r="G22" s="13" t="s">
        <v>0</v>
      </c>
      <c r="H22" s="12" t="s">
        <v>132</v>
      </c>
      <c r="I22" s="11">
        <v>1000</v>
      </c>
      <c r="J22" s="10"/>
      <c r="K22" s="9">
        <v>1000</v>
      </c>
      <c r="L22" s="8">
        <f t="shared" si="0"/>
        <v>0</v>
      </c>
    </row>
    <row r="23" spans="1:12" ht="218.25" customHeight="1" thickBot="1" x14ac:dyDescent="0.3">
      <c r="A23" s="47"/>
      <c r="B23" s="24" t="s">
        <v>32</v>
      </c>
      <c r="C23" s="12" t="s">
        <v>31</v>
      </c>
      <c r="D23" s="12" t="s">
        <v>24</v>
      </c>
      <c r="E23" s="13" t="s">
        <v>154</v>
      </c>
      <c r="F23" s="22" t="s">
        <v>4</v>
      </c>
      <c r="G23" s="13" t="s">
        <v>0</v>
      </c>
      <c r="H23" s="12" t="s">
        <v>132</v>
      </c>
      <c r="I23" s="11">
        <v>430</v>
      </c>
      <c r="J23" s="10"/>
      <c r="K23" s="9">
        <v>430</v>
      </c>
      <c r="L23" s="8">
        <f t="shared" si="0"/>
        <v>0</v>
      </c>
    </row>
    <row r="24" spans="1:12" ht="218.25" customHeight="1" thickBot="1" x14ac:dyDescent="0.3">
      <c r="A24" s="47"/>
      <c r="B24" s="24" t="s">
        <v>32</v>
      </c>
      <c r="C24" s="12" t="s">
        <v>31</v>
      </c>
      <c r="D24" s="12" t="s">
        <v>24</v>
      </c>
      <c r="E24" s="13" t="s">
        <v>154</v>
      </c>
      <c r="F24" s="22" t="s">
        <v>4</v>
      </c>
      <c r="G24" s="13" t="s">
        <v>0</v>
      </c>
      <c r="H24" s="12" t="s">
        <v>132</v>
      </c>
      <c r="I24" s="11">
        <v>1000</v>
      </c>
      <c r="J24" s="10"/>
      <c r="K24" s="9">
        <v>1000</v>
      </c>
      <c r="L24" s="8">
        <f t="shared" si="0"/>
        <v>0</v>
      </c>
    </row>
    <row r="25" spans="1:12" ht="218.25" customHeight="1" thickBot="1" x14ac:dyDescent="0.3">
      <c r="A25" s="47"/>
      <c r="B25" s="24" t="s">
        <v>40</v>
      </c>
      <c r="C25" s="12" t="s">
        <v>27</v>
      </c>
      <c r="D25" s="12" t="s">
        <v>24</v>
      </c>
      <c r="E25" s="13" t="s">
        <v>55</v>
      </c>
      <c r="F25" s="22" t="s">
        <v>9</v>
      </c>
      <c r="G25" s="13" t="s">
        <v>0</v>
      </c>
      <c r="H25" s="12" t="s">
        <v>181</v>
      </c>
      <c r="I25" s="11">
        <v>2000</v>
      </c>
      <c r="J25" s="10"/>
      <c r="K25" s="9">
        <v>2000</v>
      </c>
      <c r="L25" s="8">
        <f t="shared" si="0"/>
        <v>0</v>
      </c>
    </row>
    <row r="26" spans="1:12" ht="218.25" customHeight="1" thickBot="1" x14ac:dyDescent="0.3">
      <c r="A26" s="47"/>
      <c r="B26" s="24" t="s">
        <v>40</v>
      </c>
      <c r="C26" s="12" t="s">
        <v>15</v>
      </c>
      <c r="D26" s="12" t="s">
        <v>24</v>
      </c>
      <c r="E26" s="13" t="s">
        <v>96</v>
      </c>
      <c r="F26" s="22" t="s">
        <v>4</v>
      </c>
      <c r="G26" s="13" t="s">
        <v>0</v>
      </c>
      <c r="H26" s="12" t="s">
        <v>132</v>
      </c>
      <c r="I26" s="11">
        <v>1500</v>
      </c>
      <c r="J26" s="10"/>
      <c r="K26" s="9">
        <v>1500</v>
      </c>
      <c r="L26" s="8">
        <f t="shared" si="0"/>
        <v>0</v>
      </c>
    </row>
    <row r="27" spans="1:12" ht="218.25" customHeight="1" thickBot="1" x14ac:dyDescent="0.3">
      <c r="A27" s="47"/>
      <c r="B27" s="24" t="s">
        <v>77</v>
      </c>
      <c r="C27" s="12" t="s">
        <v>27</v>
      </c>
      <c r="D27" s="12" t="s">
        <v>24</v>
      </c>
      <c r="E27" s="13" t="s">
        <v>76</v>
      </c>
      <c r="F27" s="22" t="s">
        <v>4</v>
      </c>
      <c r="G27" s="13" t="s">
        <v>0</v>
      </c>
      <c r="H27" s="12" t="s">
        <v>132</v>
      </c>
      <c r="I27" s="11">
        <v>1444</v>
      </c>
      <c r="J27" s="10">
        <v>1000</v>
      </c>
      <c r="K27" s="9">
        <v>444</v>
      </c>
      <c r="L27" s="8">
        <f t="shared" si="0"/>
        <v>0</v>
      </c>
    </row>
    <row r="28" spans="1:12" ht="218.25" customHeight="1" thickBot="1" x14ac:dyDescent="0.3">
      <c r="A28" s="47"/>
      <c r="B28" s="24" t="s">
        <v>77</v>
      </c>
      <c r="C28" s="12" t="s">
        <v>27</v>
      </c>
      <c r="D28" s="12" t="s">
        <v>24</v>
      </c>
      <c r="E28" s="13" t="s">
        <v>76</v>
      </c>
      <c r="F28" s="22" t="s">
        <v>4</v>
      </c>
      <c r="G28" s="13" t="s">
        <v>0</v>
      </c>
      <c r="H28" s="12" t="s">
        <v>132</v>
      </c>
      <c r="I28" s="11">
        <v>1000</v>
      </c>
      <c r="J28" s="10"/>
      <c r="K28" s="9">
        <v>1000</v>
      </c>
      <c r="L28" s="8">
        <f t="shared" si="0"/>
        <v>0</v>
      </c>
    </row>
    <row r="29" spans="1:12" ht="218.25" customHeight="1" thickBot="1" x14ac:dyDescent="0.3">
      <c r="A29" s="47"/>
      <c r="B29" s="24" t="s">
        <v>112</v>
      </c>
      <c r="C29" s="12" t="s">
        <v>113</v>
      </c>
      <c r="D29" s="12" t="s">
        <v>24</v>
      </c>
      <c r="E29" s="13" t="s">
        <v>115</v>
      </c>
      <c r="F29" s="22" t="s">
        <v>9</v>
      </c>
      <c r="G29" s="13" t="s">
        <v>0</v>
      </c>
      <c r="H29" s="12" t="s">
        <v>132</v>
      </c>
      <c r="I29" s="11">
        <v>2000</v>
      </c>
      <c r="J29" s="10"/>
      <c r="K29" s="9">
        <v>2000</v>
      </c>
      <c r="L29" s="8">
        <f t="shared" si="0"/>
        <v>0</v>
      </c>
    </row>
    <row r="30" spans="1:12" ht="218.25" customHeight="1" thickBot="1" x14ac:dyDescent="0.3">
      <c r="A30" s="48"/>
      <c r="B30" s="24" t="s">
        <v>112</v>
      </c>
      <c r="C30" s="12" t="s">
        <v>113</v>
      </c>
      <c r="D30" s="12" t="s">
        <v>24</v>
      </c>
      <c r="E30" s="13" t="s">
        <v>115</v>
      </c>
      <c r="F30" s="22" t="s">
        <v>9</v>
      </c>
      <c r="G30" s="13" t="s">
        <v>0</v>
      </c>
      <c r="H30" s="12" t="s">
        <v>132</v>
      </c>
      <c r="I30" s="11">
        <v>1500</v>
      </c>
      <c r="J30" s="10">
        <v>1000</v>
      </c>
      <c r="K30" s="9">
        <v>500</v>
      </c>
      <c r="L30" s="8">
        <f t="shared" si="0"/>
        <v>0</v>
      </c>
    </row>
    <row r="31" spans="1:12" ht="218.25" customHeight="1" thickBot="1" x14ac:dyDescent="0.3">
      <c r="A31" s="46" t="s">
        <v>23</v>
      </c>
      <c r="B31" s="24" t="s">
        <v>12</v>
      </c>
      <c r="C31" s="12" t="s">
        <v>6</v>
      </c>
      <c r="D31" s="12" t="s">
        <v>20</v>
      </c>
      <c r="E31" s="13" t="s">
        <v>22</v>
      </c>
      <c r="F31" s="22" t="s">
        <v>4</v>
      </c>
      <c r="G31" s="13" t="s">
        <v>0</v>
      </c>
      <c r="H31" s="12" t="s">
        <v>132</v>
      </c>
      <c r="I31" s="11">
        <v>4101</v>
      </c>
      <c r="J31" s="10">
        <v>1000</v>
      </c>
      <c r="K31" s="9">
        <v>3101</v>
      </c>
      <c r="L31" s="8">
        <f t="shared" si="0"/>
        <v>0</v>
      </c>
    </row>
    <row r="32" spans="1:12" ht="218.25" customHeight="1" thickBot="1" x14ac:dyDescent="0.3">
      <c r="A32" s="47"/>
      <c r="B32" s="24" t="s">
        <v>12</v>
      </c>
      <c r="C32" s="12" t="s">
        <v>6</v>
      </c>
      <c r="D32" s="12" t="s">
        <v>20</v>
      </c>
      <c r="E32" s="13" t="s">
        <v>22</v>
      </c>
      <c r="F32" s="22" t="s">
        <v>4</v>
      </c>
      <c r="G32" s="13" t="s">
        <v>0</v>
      </c>
      <c r="H32" s="12" t="s">
        <v>132</v>
      </c>
      <c r="I32" s="11">
        <v>4000</v>
      </c>
      <c r="J32" s="10"/>
      <c r="K32" s="9">
        <v>4000</v>
      </c>
      <c r="L32" s="8">
        <f t="shared" si="0"/>
        <v>0</v>
      </c>
    </row>
    <row r="33" spans="1:12" ht="218.25" customHeight="1" thickBot="1" x14ac:dyDescent="0.3">
      <c r="A33" s="47"/>
      <c r="B33" s="24" t="s">
        <v>21</v>
      </c>
      <c r="C33" s="12" t="s">
        <v>3</v>
      </c>
      <c r="D33" s="12" t="s">
        <v>20</v>
      </c>
      <c r="E33" s="13" t="s">
        <v>56</v>
      </c>
      <c r="F33" s="22" t="s">
        <v>9</v>
      </c>
      <c r="G33" s="13" t="s">
        <v>0</v>
      </c>
      <c r="H33" s="12" t="s">
        <v>132</v>
      </c>
      <c r="I33" s="11">
        <v>15000</v>
      </c>
      <c r="J33" s="10">
        <v>2000</v>
      </c>
      <c r="K33" s="9">
        <v>13000</v>
      </c>
      <c r="L33" s="8">
        <f t="shared" si="0"/>
        <v>0</v>
      </c>
    </row>
    <row r="34" spans="1:12" ht="218.25" customHeight="1" thickBot="1" x14ac:dyDescent="0.3">
      <c r="A34" s="48"/>
      <c r="B34" s="24" t="s">
        <v>21</v>
      </c>
      <c r="C34" s="12" t="s">
        <v>3</v>
      </c>
      <c r="D34" s="12" t="s">
        <v>20</v>
      </c>
      <c r="E34" s="13" t="s">
        <v>57</v>
      </c>
      <c r="F34" s="22" t="s">
        <v>9</v>
      </c>
      <c r="G34" s="13" t="s">
        <v>0</v>
      </c>
      <c r="H34" s="12" t="s">
        <v>132</v>
      </c>
      <c r="I34" s="11">
        <v>8000</v>
      </c>
      <c r="J34" s="10"/>
      <c r="K34" s="9">
        <v>8000</v>
      </c>
      <c r="L34" s="8">
        <f t="shared" si="0"/>
        <v>0</v>
      </c>
    </row>
    <row r="35" spans="1:12" ht="218.25" customHeight="1" thickBot="1" x14ac:dyDescent="0.3">
      <c r="A35" s="46" t="s">
        <v>54</v>
      </c>
      <c r="B35" s="24" t="s">
        <v>172</v>
      </c>
      <c r="C35" s="12" t="s">
        <v>173</v>
      </c>
      <c r="D35" s="12" t="s">
        <v>174</v>
      </c>
      <c r="E35" s="13" t="s">
        <v>175</v>
      </c>
      <c r="F35" s="22" t="s">
        <v>4</v>
      </c>
      <c r="G35" s="13" t="s">
        <v>0</v>
      </c>
      <c r="H35" s="12" t="s">
        <v>75</v>
      </c>
      <c r="I35" s="11">
        <v>400</v>
      </c>
      <c r="J35" s="10">
        <v>400</v>
      </c>
      <c r="K35" s="9"/>
      <c r="L35" s="8">
        <f t="shared" si="0"/>
        <v>0</v>
      </c>
    </row>
    <row r="36" spans="1:12" ht="218.25" customHeight="1" thickBot="1" x14ac:dyDescent="0.3">
      <c r="A36" s="48"/>
      <c r="B36" s="24" t="s">
        <v>172</v>
      </c>
      <c r="C36" s="12" t="s">
        <v>173</v>
      </c>
      <c r="D36" s="12" t="s">
        <v>174</v>
      </c>
      <c r="E36" s="13" t="s">
        <v>176</v>
      </c>
      <c r="F36" s="22" t="s">
        <v>4</v>
      </c>
      <c r="G36" s="13" t="s">
        <v>0</v>
      </c>
      <c r="H36" s="12" t="s">
        <v>75</v>
      </c>
      <c r="I36" s="11">
        <v>645</v>
      </c>
      <c r="J36" s="10"/>
      <c r="K36" s="9">
        <v>645</v>
      </c>
      <c r="L36" s="8">
        <f t="shared" si="0"/>
        <v>0</v>
      </c>
    </row>
    <row r="37" spans="1:12" ht="218.25" customHeight="1" thickBot="1" x14ac:dyDescent="0.3">
      <c r="A37" s="46" t="s">
        <v>19</v>
      </c>
      <c r="B37" s="24" t="s">
        <v>18</v>
      </c>
      <c r="C37" s="12" t="s">
        <v>17</v>
      </c>
      <c r="D37" s="12" t="s">
        <v>14</v>
      </c>
      <c r="E37" s="13" t="s">
        <v>16</v>
      </c>
      <c r="F37" s="22" t="s">
        <v>4</v>
      </c>
      <c r="G37" s="13" t="s">
        <v>0</v>
      </c>
      <c r="H37" s="12" t="s">
        <v>132</v>
      </c>
      <c r="I37" s="11">
        <v>1858</v>
      </c>
      <c r="J37" s="10"/>
      <c r="K37" s="9">
        <v>1858</v>
      </c>
      <c r="L37" s="8">
        <f t="shared" si="0"/>
        <v>0</v>
      </c>
    </row>
    <row r="38" spans="1:12" ht="218.25" customHeight="1" thickBot="1" x14ac:dyDescent="0.3">
      <c r="A38" s="47"/>
      <c r="B38" s="24" t="s">
        <v>7</v>
      </c>
      <c r="C38" s="12" t="s">
        <v>15</v>
      </c>
      <c r="D38" s="12" t="s">
        <v>14</v>
      </c>
      <c r="E38" s="13" t="s">
        <v>65</v>
      </c>
      <c r="F38" s="22" t="s">
        <v>4</v>
      </c>
      <c r="G38" s="13" t="s">
        <v>0</v>
      </c>
      <c r="H38" s="12" t="s">
        <v>132</v>
      </c>
      <c r="I38" s="11">
        <v>4000</v>
      </c>
      <c r="J38" s="10"/>
      <c r="K38" s="9">
        <v>4000</v>
      </c>
      <c r="L38" s="8">
        <f t="shared" si="0"/>
        <v>0</v>
      </c>
    </row>
    <row r="39" spans="1:12" ht="218.25" customHeight="1" thickBot="1" x14ac:dyDescent="0.3">
      <c r="A39" s="47"/>
      <c r="B39" s="24" t="s">
        <v>7</v>
      </c>
      <c r="C39" s="12" t="s">
        <v>15</v>
      </c>
      <c r="D39" s="12" t="s">
        <v>14</v>
      </c>
      <c r="E39" s="13" t="s">
        <v>13</v>
      </c>
      <c r="F39" s="22" t="s">
        <v>4</v>
      </c>
      <c r="G39" s="13" t="s">
        <v>0</v>
      </c>
      <c r="H39" s="12" t="s">
        <v>132</v>
      </c>
      <c r="I39" s="11">
        <v>2110</v>
      </c>
      <c r="J39" s="10">
        <v>1000</v>
      </c>
      <c r="K39" s="9">
        <v>1110</v>
      </c>
      <c r="L39" s="8">
        <f t="shared" si="0"/>
        <v>0</v>
      </c>
    </row>
    <row r="40" spans="1:12" ht="218.25" customHeight="1" thickBot="1" x14ac:dyDescent="0.3">
      <c r="A40" s="47"/>
      <c r="B40" s="24" t="s">
        <v>7</v>
      </c>
      <c r="C40" s="12" t="s">
        <v>15</v>
      </c>
      <c r="D40" s="12" t="s">
        <v>14</v>
      </c>
      <c r="E40" s="13" t="s">
        <v>65</v>
      </c>
      <c r="F40" s="22" t="s">
        <v>4</v>
      </c>
      <c r="G40" s="13" t="s">
        <v>0</v>
      </c>
      <c r="H40" s="12" t="s">
        <v>132</v>
      </c>
      <c r="I40" s="11">
        <v>2000</v>
      </c>
      <c r="J40" s="10"/>
      <c r="K40" s="9">
        <v>2000</v>
      </c>
      <c r="L40" s="8">
        <f t="shared" si="0"/>
        <v>0</v>
      </c>
    </row>
    <row r="41" spans="1:12" ht="218.25" customHeight="1" thickBot="1" x14ac:dyDescent="0.3">
      <c r="A41" s="47"/>
      <c r="B41" s="24" t="s">
        <v>7</v>
      </c>
      <c r="C41" s="12" t="s">
        <v>15</v>
      </c>
      <c r="D41" s="12" t="s">
        <v>14</v>
      </c>
      <c r="E41" s="13" t="s">
        <v>58</v>
      </c>
      <c r="F41" s="22" t="s">
        <v>4</v>
      </c>
      <c r="G41" s="13" t="s">
        <v>0</v>
      </c>
      <c r="H41" s="12" t="s">
        <v>132</v>
      </c>
      <c r="I41" s="11">
        <v>1000</v>
      </c>
      <c r="J41" s="10"/>
      <c r="K41" s="9">
        <v>1000</v>
      </c>
      <c r="L41" s="8">
        <f t="shared" si="0"/>
        <v>0</v>
      </c>
    </row>
    <row r="42" spans="1:12" ht="218.25" customHeight="1" thickBot="1" x14ac:dyDescent="0.3">
      <c r="A42" s="47"/>
      <c r="B42" s="24" t="s">
        <v>12</v>
      </c>
      <c r="C42" s="12" t="s">
        <v>118</v>
      </c>
      <c r="D42" s="12" t="s">
        <v>123</v>
      </c>
      <c r="E42" s="13" t="s">
        <v>124</v>
      </c>
      <c r="F42" s="22" t="s">
        <v>4</v>
      </c>
      <c r="G42" s="13" t="s">
        <v>0</v>
      </c>
      <c r="H42" s="12" t="s">
        <v>132</v>
      </c>
      <c r="I42" s="11">
        <v>2085</v>
      </c>
      <c r="J42" s="10"/>
      <c r="K42" s="9">
        <v>2085</v>
      </c>
      <c r="L42" s="8">
        <f t="shared" si="0"/>
        <v>0</v>
      </c>
    </row>
    <row r="43" spans="1:12" ht="218.25" customHeight="1" thickBot="1" x14ac:dyDescent="0.3">
      <c r="A43" s="47"/>
      <c r="B43" s="24" t="s">
        <v>12</v>
      </c>
      <c r="C43" s="12" t="s">
        <v>3</v>
      </c>
      <c r="D43" s="12" t="s">
        <v>11</v>
      </c>
      <c r="E43" s="13" t="s">
        <v>10</v>
      </c>
      <c r="F43" s="22" t="s">
        <v>4</v>
      </c>
      <c r="G43" s="13" t="s">
        <v>0</v>
      </c>
      <c r="H43" s="12" t="s">
        <v>132</v>
      </c>
      <c r="I43" s="11">
        <v>8000</v>
      </c>
      <c r="J43" s="10">
        <v>2000</v>
      </c>
      <c r="K43" s="9">
        <v>6000</v>
      </c>
      <c r="L43" s="8">
        <f t="shared" si="0"/>
        <v>0</v>
      </c>
    </row>
    <row r="44" spans="1:12" ht="218.25" customHeight="1" thickBot="1" x14ac:dyDescent="0.3">
      <c r="A44" s="47"/>
      <c r="B44" s="24" t="s">
        <v>12</v>
      </c>
      <c r="C44" s="12" t="s">
        <v>3</v>
      </c>
      <c r="D44" s="12" t="s">
        <v>11</v>
      </c>
      <c r="E44" s="13" t="s">
        <v>10</v>
      </c>
      <c r="F44" s="22" t="s">
        <v>9</v>
      </c>
      <c r="G44" s="13" t="s">
        <v>0</v>
      </c>
      <c r="H44" s="12" t="s">
        <v>181</v>
      </c>
      <c r="I44" s="11">
        <v>3000</v>
      </c>
      <c r="J44" s="10"/>
      <c r="K44" s="9">
        <v>3000</v>
      </c>
      <c r="L44" s="8">
        <f t="shared" si="0"/>
        <v>0</v>
      </c>
    </row>
    <row r="45" spans="1:12" ht="218.25" customHeight="1" thickBot="1" x14ac:dyDescent="0.3">
      <c r="A45" s="48"/>
      <c r="B45" s="24" t="s">
        <v>7</v>
      </c>
      <c r="C45" s="12" t="s">
        <v>6</v>
      </c>
      <c r="D45" s="12" t="s">
        <v>1</v>
      </c>
      <c r="E45" s="13" t="s">
        <v>5</v>
      </c>
      <c r="F45" s="22" t="s">
        <v>9</v>
      </c>
      <c r="G45" s="13" t="s">
        <v>0</v>
      </c>
      <c r="H45" s="12" t="s">
        <v>177</v>
      </c>
      <c r="I45" s="11">
        <v>3686</v>
      </c>
      <c r="J45" s="10"/>
      <c r="K45" s="9">
        <v>3686</v>
      </c>
      <c r="L45" s="8">
        <f t="shared" si="0"/>
        <v>0</v>
      </c>
    </row>
    <row r="97" spans="1:11" s="2" customFormat="1" x14ac:dyDescent="0.25">
      <c r="A97" s="7"/>
      <c r="B97" s="5"/>
      <c r="C97" s="7"/>
      <c r="D97" s="6"/>
      <c r="E97" s="5"/>
      <c r="F97" s="6"/>
      <c r="G97" s="5"/>
      <c r="H97" s="5"/>
      <c r="I97" s="5"/>
      <c r="J97" s="4"/>
      <c r="K97" s="3" t="s">
        <v>148</v>
      </c>
    </row>
  </sheetData>
  <autoFilter ref="A2:L28"/>
  <dataConsolidate/>
  <mergeCells count="6">
    <mergeCell ref="A31:A34"/>
    <mergeCell ref="A35:A36"/>
    <mergeCell ref="A37:A45"/>
    <mergeCell ref="A1:L1"/>
    <mergeCell ref="A3:A18"/>
    <mergeCell ref="A19:A30"/>
  </mergeCells>
  <conditionalFormatting sqref="I2:I24 K3:L24 L25:L45">
    <cfRule type="cellIs" dxfId="167" priority="4" operator="lessThan">
      <formula>0</formula>
    </cfRule>
  </conditionalFormatting>
  <conditionalFormatting sqref="L2">
    <cfRule type="cellIs" dxfId="166" priority="3" operator="lessThan">
      <formula>0</formula>
    </cfRule>
  </conditionalFormatting>
  <conditionalFormatting sqref="I25:I37 K25:K37">
    <cfRule type="cellIs" dxfId="165" priority="2" operator="lessThan">
      <formula>0</formula>
    </cfRule>
  </conditionalFormatting>
  <conditionalFormatting sqref="I38:I45 K38:K45">
    <cfRule type="cellIs" dxfId="164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05"/>
  <sheetViews>
    <sheetView showGridLines="0" view="pageBreakPreview" topLeftCell="A19" zoomScale="20" zoomScaleNormal="27" zoomScaleSheetLayoutView="20" workbookViewId="0">
      <selection activeCell="K35" activeCellId="1" sqref="E35:E45 K35:K45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178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218.25" customHeight="1" thickBot="1" x14ac:dyDescent="0.3">
      <c r="A3" s="46" t="s">
        <v>41</v>
      </c>
      <c r="B3" s="13" t="s">
        <v>40</v>
      </c>
      <c r="C3" s="12" t="s">
        <v>125</v>
      </c>
      <c r="D3" s="12" t="s">
        <v>126</v>
      </c>
      <c r="E3" s="13" t="s">
        <v>179</v>
      </c>
      <c r="F3" s="22" t="s">
        <v>122</v>
      </c>
      <c r="G3" s="13" t="s">
        <v>0</v>
      </c>
      <c r="H3" s="12" t="s">
        <v>132</v>
      </c>
      <c r="I3" s="11">
        <v>108</v>
      </c>
      <c r="J3" s="10"/>
      <c r="K3" s="9">
        <v>108</v>
      </c>
      <c r="L3" s="8">
        <f t="shared" ref="L3:L45" si="0">K3+J3-I3</f>
        <v>0</v>
      </c>
    </row>
    <row r="4" spans="1:12" ht="218.25" customHeight="1" thickBot="1" x14ac:dyDescent="0.3">
      <c r="A4" s="47"/>
      <c r="B4" s="13" t="s">
        <v>40</v>
      </c>
      <c r="C4" s="12" t="s">
        <v>125</v>
      </c>
      <c r="D4" s="12" t="s">
        <v>126</v>
      </c>
      <c r="E4" s="13" t="s">
        <v>180</v>
      </c>
      <c r="F4" s="22" t="s">
        <v>122</v>
      </c>
      <c r="G4" s="13" t="s">
        <v>0</v>
      </c>
      <c r="H4" s="12" t="s">
        <v>132</v>
      </c>
      <c r="I4" s="11">
        <v>505</v>
      </c>
      <c r="J4" s="10"/>
      <c r="K4" s="9">
        <v>505</v>
      </c>
      <c r="L4" s="8">
        <f t="shared" si="0"/>
        <v>0</v>
      </c>
    </row>
    <row r="5" spans="1:12" ht="218.25" customHeight="1" thickBot="1" x14ac:dyDescent="0.3">
      <c r="A5" s="47"/>
      <c r="B5" s="13" t="s">
        <v>136</v>
      </c>
      <c r="C5" s="12" t="s">
        <v>118</v>
      </c>
      <c r="D5" s="12" t="s">
        <v>126</v>
      </c>
      <c r="E5" s="13" t="s">
        <v>169</v>
      </c>
      <c r="F5" s="22" t="s">
        <v>122</v>
      </c>
      <c r="G5" s="13" t="s">
        <v>0</v>
      </c>
      <c r="H5" s="12" t="s">
        <v>132</v>
      </c>
      <c r="I5" s="11">
        <v>1000</v>
      </c>
      <c r="J5" s="10"/>
      <c r="K5" s="9">
        <v>1000</v>
      </c>
      <c r="L5" s="8">
        <f t="shared" si="0"/>
        <v>0</v>
      </c>
    </row>
    <row r="6" spans="1:12" ht="218.25" customHeight="1" thickBot="1" x14ac:dyDescent="0.3">
      <c r="A6" s="47"/>
      <c r="B6" s="13" t="s">
        <v>136</v>
      </c>
      <c r="C6" s="12" t="s">
        <v>3</v>
      </c>
      <c r="D6" s="12" t="s">
        <v>126</v>
      </c>
      <c r="E6" s="13" t="s">
        <v>153</v>
      </c>
      <c r="F6" s="22" t="s">
        <v>122</v>
      </c>
      <c r="G6" s="13" t="s">
        <v>0</v>
      </c>
      <c r="H6" s="12" t="s">
        <v>132</v>
      </c>
      <c r="I6" s="11">
        <v>5000</v>
      </c>
      <c r="J6" s="10"/>
      <c r="K6" s="9">
        <v>5000</v>
      </c>
      <c r="L6" s="8">
        <f t="shared" si="0"/>
        <v>0</v>
      </c>
    </row>
    <row r="7" spans="1:12" ht="218.25" customHeight="1" thickBot="1" x14ac:dyDescent="0.3">
      <c r="A7" s="47"/>
      <c r="B7" s="13" t="s">
        <v>136</v>
      </c>
      <c r="C7" s="12" t="s">
        <v>118</v>
      </c>
      <c r="D7" s="12" t="s">
        <v>126</v>
      </c>
      <c r="E7" s="23" t="s">
        <v>169</v>
      </c>
      <c r="F7" s="22" t="s">
        <v>122</v>
      </c>
      <c r="G7" s="13" t="s">
        <v>0</v>
      </c>
      <c r="H7" s="12" t="s">
        <v>181</v>
      </c>
      <c r="I7" s="11">
        <v>1000</v>
      </c>
      <c r="J7" s="10"/>
      <c r="K7" s="9">
        <v>1000</v>
      </c>
      <c r="L7" s="8">
        <f t="shared" si="0"/>
        <v>0</v>
      </c>
    </row>
    <row r="8" spans="1:12" ht="218.25" customHeight="1" thickBot="1" x14ac:dyDescent="0.3">
      <c r="A8" s="47"/>
      <c r="B8" s="13" t="s">
        <v>112</v>
      </c>
      <c r="C8" s="12" t="s">
        <v>113</v>
      </c>
      <c r="D8" s="12" t="s">
        <v>24</v>
      </c>
      <c r="E8" s="23" t="s">
        <v>170</v>
      </c>
      <c r="F8" s="22" t="s">
        <v>4</v>
      </c>
      <c r="G8" s="13" t="s">
        <v>0</v>
      </c>
      <c r="H8" s="12" t="s">
        <v>181</v>
      </c>
      <c r="I8" s="11">
        <v>151</v>
      </c>
      <c r="J8" s="10"/>
      <c r="K8" s="9">
        <v>151</v>
      </c>
      <c r="L8" s="8">
        <f t="shared" si="0"/>
        <v>0</v>
      </c>
    </row>
    <row r="9" spans="1:12" ht="218.25" customHeight="1" thickBot="1" x14ac:dyDescent="0.3">
      <c r="A9" s="47"/>
      <c r="B9" s="13" t="s">
        <v>32</v>
      </c>
      <c r="C9" s="12" t="s">
        <v>31</v>
      </c>
      <c r="D9" s="12" t="s">
        <v>24</v>
      </c>
      <c r="E9" s="23" t="s">
        <v>71</v>
      </c>
      <c r="F9" s="22" t="s">
        <v>4</v>
      </c>
      <c r="G9" s="13" t="s">
        <v>0</v>
      </c>
      <c r="H9" s="12" t="s">
        <v>181</v>
      </c>
      <c r="I9" s="11">
        <v>1000</v>
      </c>
      <c r="J9" s="10"/>
      <c r="K9" s="9">
        <v>1000</v>
      </c>
      <c r="L9" s="8">
        <f t="shared" si="0"/>
        <v>0</v>
      </c>
    </row>
    <row r="10" spans="1:12" ht="218.25" customHeight="1" thickBot="1" x14ac:dyDescent="0.3">
      <c r="A10" s="47"/>
      <c r="B10" s="13" t="s">
        <v>32</v>
      </c>
      <c r="C10" s="12" t="s">
        <v>31</v>
      </c>
      <c r="D10" s="12" t="s">
        <v>24</v>
      </c>
      <c r="E10" s="23" t="s">
        <v>171</v>
      </c>
      <c r="F10" s="22" t="s">
        <v>4</v>
      </c>
      <c r="G10" s="13" t="s">
        <v>0</v>
      </c>
      <c r="H10" s="12" t="s">
        <v>181</v>
      </c>
      <c r="I10" s="11">
        <v>1592</v>
      </c>
      <c r="J10" s="10"/>
      <c r="K10" s="9">
        <v>1592</v>
      </c>
      <c r="L10" s="8">
        <f t="shared" si="0"/>
        <v>0</v>
      </c>
    </row>
    <row r="11" spans="1:12" ht="218.25" customHeight="1" thickBot="1" x14ac:dyDescent="0.3">
      <c r="A11" s="47"/>
      <c r="B11" s="13" t="s">
        <v>95</v>
      </c>
      <c r="C11" s="12" t="s">
        <v>15</v>
      </c>
      <c r="D11" s="12" t="s">
        <v>24</v>
      </c>
      <c r="E11" s="13" t="s">
        <v>96</v>
      </c>
      <c r="F11" s="22" t="s">
        <v>4</v>
      </c>
      <c r="G11" s="13" t="s">
        <v>0</v>
      </c>
      <c r="H11" s="12" t="s">
        <v>181</v>
      </c>
      <c r="I11" s="11">
        <v>3000</v>
      </c>
      <c r="J11" s="10">
        <v>1000</v>
      </c>
      <c r="K11" s="9">
        <v>2000</v>
      </c>
      <c r="L11" s="8">
        <f t="shared" si="0"/>
        <v>0</v>
      </c>
    </row>
    <row r="12" spans="1:12" ht="218.25" customHeight="1" thickBot="1" x14ac:dyDescent="0.3">
      <c r="A12" s="47"/>
      <c r="B12" s="13" t="s">
        <v>38</v>
      </c>
      <c r="C12" s="12" t="s">
        <v>27</v>
      </c>
      <c r="D12" s="12" t="s">
        <v>24</v>
      </c>
      <c r="E12" s="13" t="s">
        <v>76</v>
      </c>
      <c r="F12" s="22" t="s">
        <v>4</v>
      </c>
      <c r="G12" s="13" t="s">
        <v>0</v>
      </c>
      <c r="H12" s="12" t="s">
        <v>181</v>
      </c>
      <c r="I12" s="11">
        <v>3746</v>
      </c>
      <c r="J12" s="10">
        <v>1000</v>
      </c>
      <c r="K12" s="9">
        <f>1500+1246</f>
        <v>2746</v>
      </c>
      <c r="L12" s="8">
        <f t="shared" si="0"/>
        <v>0</v>
      </c>
    </row>
    <row r="13" spans="1:12" ht="218.25" customHeight="1" thickBot="1" x14ac:dyDescent="0.3">
      <c r="A13" s="47"/>
      <c r="B13" s="13" t="s">
        <v>112</v>
      </c>
      <c r="C13" s="12" t="s">
        <v>113</v>
      </c>
      <c r="D13" s="12" t="s">
        <v>24</v>
      </c>
      <c r="E13" s="13" t="s">
        <v>170</v>
      </c>
      <c r="F13" s="22" t="s">
        <v>4</v>
      </c>
      <c r="G13" s="13" t="s">
        <v>0</v>
      </c>
      <c r="H13" s="12" t="s">
        <v>132</v>
      </c>
      <c r="I13" s="11">
        <v>1000</v>
      </c>
      <c r="J13" s="10"/>
      <c r="K13" s="9">
        <v>1000</v>
      </c>
      <c r="L13" s="8">
        <f t="shared" si="0"/>
        <v>0</v>
      </c>
    </row>
    <row r="14" spans="1:12" ht="218.25" customHeight="1" thickBot="1" x14ac:dyDescent="0.3">
      <c r="A14" s="47"/>
      <c r="B14" s="13" t="s">
        <v>112</v>
      </c>
      <c r="C14" s="12" t="s">
        <v>113</v>
      </c>
      <c r="D14" s="12" t="s">
        <v>24</v>
      </c>
      <c r="E14" s="13" t="s">
        <v>115</v>
      </c>
      <c r="F14" s="22" t="s">
        <v>9</v>
      </c>
      <c r="G14" s="13" t="s">
        <v>0</v>
      </c>
      <c r="H14" s="12" t="s">
        <v>132</v>
      </c>
      <c r="I14" s="11">
        <v>1000</v>
      </c>
      <c r="J14" s="10"/>
      <c r="K14" s="9">
        <v>1000</v>
      </c>
      <c r="L14" s="8">
        <f t="shared" si="0"/>
        <v>0</v>
      </c>
    </row>
    <row r="15" spans="1:12" ht="218.25" customHeight="1" thickBot="1" x14ac:dyDescent="0.3">
      <c r="A15" s="47"/>
      <c r="B15" s="13" t="s">
        <v>32</v>
      </c>
      <c r="C15" s="12" t="s">
        <v>31</v>
      </c>
      <c r="D15" s="12" t="s">
        <v>24</v>
      </c>
      <c r="E15" s="13" t="s">
        <v>71</v>
      </c>
      <c r="F15" s="22" t="s">
        <v>4</v>
      </c>
      <c r="G15" s="13" t="s">
        <v>0</v>
      </c>
      <c r="H15" s="12" t="s">
        <v>132</v>
      </c>
      <c r="I15" s="11">
        <v>1000</v>
      </c>
      <c r="J15" s="10"/>
      <c r="K15" s="9">
        <v>1000</v>
      </c>
      <c r="L15" s="8">
        <f t="shared" si="0"/>
        <v>0</v>
      </c>
    </row>
    <row r="16" spans="1:12" ht="218.25" customHeight="1" thickBot="1" x14ac:dyDescent="0.3">
      <c r="A16" s="47"/>
      <c r="B16" s="13" t="s">
        <v>32</v>
      </c>
      <c r="C16" s="12" t="s">
        <v>31</v>
      </c>
      <c r="D16" s="12" t="s">
        <v>24</v>
      </c>
      <c r="E16" s="13" t="s">
        <v>70</v>
      </c>
      <c r="F16" s="22" t="s">
        <v>4</v>
      </c>
      <c r="G16" s="13" t="s">
        <v>0</v>
      </c>
      <c r="H16" s="12" t="s">
        <v>132</v>
      </c>
      <c r="I16" s="11">
        <v>5000</v>
      </c>
      <c r="J16" s="10">
        <v>1000</v>
      </c>
      <c r="K16" s="9">
        <f>1500+1500+1000</f>
        <v>4000</v>
      </c>
      <c r="L16" s="8">
        <f t="shared" si="0"/>
        <v>0</v>
      </c>
    </row>
    <row r="17" spans="1:12" ht="218.25" customHeight="1" thickBot="1" x14ac:dyDescent="0.3">
      <c r="A17" s="47"/>
      <c r="B17" s="24" t="s">
        <v>32</v>
      </c>
      <c r="C17" s="12" t="s">
        <v>31</v>
      </c>
      <c r="D17" s="12" t="s">
        <v>24</v>
      </c>
      <c r="E17" s="13" t="s">
        <v>171</v>
      </c>
      <c r="F17" s="22" t="s">
        <v>4</v>
      </c>
      <c r="G17" s="13" t="s">
        <v>0</v>
      </c>
      <c r="H17" s="12" t="s">
        <v>132</v>
      </c>
      <c r="I17" s="11">
        <v>2000</v>
      </c>
      <c r="J17" s="10"/>
      <c r="K17" s="9">
        <v>2000</v>
      </c>
      <c r="L17" s="8">
        <f t="shared" si="0"/>
        <v>0</v>
      </c>
    </row>
    <row r="18" spans="1:12" ht="218.25" customHeight="1" thickBot="1" x14ac:dyDescent="0.3">
      <c r="A18" s="47"/>
      <c r="B18" s="24" t="s">
        <v>32</v>
      </c>
      <c r="C18" s="12" t="s">
        <v>31</v>
      </c>
      <c r="D18" s="12" t="s">
        <v>24</v>
      </c>
      <c r="E18" s="13" t="s">
        <v>154</v>
      </c>
      <c r="F18" s="22" t="s">
        <v>4</v>
      </c>
      <c r="G18" s="13" t="s">
        <v>0</v>
      </c>
      <c r="H18" s="12" t="s">
        <v>132</v>
      </c>
      <c r="I18" s="11">
        <v>500</v>
      </c>
      <c r="J18" s="10"/>
      <c r="K18" s="9">
        <v>500</v>
      </c>
      <c r="L18" s="8">
        <f t="shared" si="0"/>
        <v>0</v>
      </c>
    </row>
    <row r="19" spans="1:12" ht="218.25" customHeight="1" thickBot="1" x14ac:dyDescent="0.3">
      <c r="A19" s="47"/>
      <c r="B19" s="24" t="s">
        <v>28</v>
      </c>
      <c r="C19" s="12" t="s">
        <v>155</v>
      </c>
      <c r="D19" s="12" t="s">
        <v>24</v>
      </c>
      <c r="E19" s="13" t="s">
        <v>156</v>
      </c>
      <c r="F19" s="22" t="s">
        <v>4</v>
      </c>
      <c r="G19" s="13" t="s">
        <v>8</v>
      </c>
      <c r="H19" s="12" t="s">
        <v>132</v>
      </c>
      <c r="I19" s="11">
        <v>4</v>
      </c>
      <c r="J19" s="10"/>
      <c r="K19" s="9">
        <v>4</v>
      </c>
      <c r="L19" s="8">
        <f t="shared" si="0"/>
        <v>0</v>
      </c>
    </row>
    <row r="20" spans="1:12" ht="218.25" customHeight="1" thickBot="1" x14ac:dyDescent="0.3">
      <c r="A20" s="48"/>
      <c r="B20" s="24" t="s">
        <v>28</v>
      </c>
      <c r="C20" s="12" t="s">
        <v>155</v>
      </c>
      <c r="D20" s="12" t="s">
        <v>24</v>
      </c>
      <c r="E20" s="13" t="s">
        <v>156</v>
      </c>
      <c r="F20" s="22" t="s">
        <v>4</v>
      </c>
      <c r="G20" s="13" t="s">
        <v>0</v>
      </c>
      <c r="H20" s="12" t="s">
        <v>132</v>
      </c>
      <c r="I20" s="11">
        <v>3000</v>
      </c>
      <c r="J20" s="10">
        <v>1000</v>
      </c>
      <c r="K20" s="9">
        <v>2000</v>
      </c>
      <c r="L20" s="8">
        <f t="shared" si="0"/>
        <v>0</v>
      </c>
    </row>
    <row r="21" spans="1:12" ht="218.25" customHeight="1" thickBot="1" x14ac:dyDescent="0.3">
      <c r="A21" s="46" t="s">
        <v>36</v>
      </c>
      <c r="B21" s="24" t="s">
        <v>35</v>
      </c>
      <c r="C21" s="12" t="s">
        <v>155</v>
      </c>
      <c r="D21" s="12" t="s">
        <v>24</v>
      </c>
      <c r="E21" s="13" t="s">
        <v>156</v>
      </c>
      <c r="F21" s="22" t="s">
        <v>4</v>
      </c>
      <c r="G21" s="13" t="s">
        <v>8</v>
      </c>
      <c r="H21" s="12" t="s">
        <v>132</v>
      </c>
      <c r="I21" s="11">
        <v>4</v>
      </c>
      <c r="J21" s="10"/>
      <c r="K21" s="9">
        <v>4</v>
      </c>
      <c r="L21" s="8">
        <f t="shared" si="0"/>
        <v>0</v>
      </c>
    </row>
    <row r="22" spans="1:12" ht="218.25" customHeight="1" thickBot="1" x14ac:dyDescent="0.3">
      <c r="A22" s="47"/>
      <c r="B22" s="24" t="s">
        <v>35</v>
      </c>
      <c r="C22" s="12" t="s">
        <v>155</v>
      </c>
      <c r="D22" s="12" t="s">
        <v>24</v>
      </c>
      <c r="E22" s="13" t="s">
        <v>156</v>
      </c>
      <c r="F22" s="22" t="s">
        <v>4</v>
      </c>
      <c r="G22" s="13" t="s">
        <v>0</v>
      </c>
      <c r="H22" s="12" t="s">
        <v>132</v>
      </c>
      <c r="I22" s="11">
        <v>3000</v>
      </c>
      <c r="J22" s="10"/>
      <c r="K22" s="9">
        <v>3000</v>
      </c>
      <c r="L22" s="8">
        <f t="shared" si="0"/>
        <v>0</v>
      </c>
    </row>
    <row r="23" spans="1:12" ht="218.25" customHeight="1" thickBot="1" x14ac:dyDescent="0.3">
      <c r="A23" s="47"/>
      <c r="B23" s="24" t="s">
        <v>35</v>
      </c>
      <c r="C23" s="12" t="s">
        <v>155</v>
      </c>
      <c r="D23" s="12" t="s">
        <v>24</v>
      </c>
      <c r="E23" s="23" t="s">
        <v>156</v>
      </c>
      <c r="F23" s="22" t="s">
        <v>4</v>
      </c>
      <c r="G23" s="13" t="s">
        <v>0</v>
      </c>
      <c r="H23" s="12" t="s">
        <v>132</v>
      </c>
      <c r="I23" s="11">
        <v>1870</v>
      </c>
      <c r="J23" s="10"/>
      <c r="K23" s="9">
        <v>1870</v>
      </c>
      <c r="L23" s="8">
        <f t="shared" si="0"/>
        <v>0</v>
      </c>
    </row>
    <row r="24" spans="1:12" ht="218.25" customHeight="1" thickBot="1" x14ac:dyDescent="0.3">
      <c r="A24" s="47"/>
      <c r="B24" s="24" t="s">
        <v>32</v>
      </c>
      <c r="C24" s="12" t="s">
        <v>31</v>
      </c>
      <c r="D24" s="12" t="s">
        <v>24</v>
      </c>
      <c r="E24" s="23" t="s">
        <v>71</v>
      </c>
      <c r="F24" s="22" t="s">
        <v>4</v>
      </c>
      <c r="G24" s="13" t="s">
        <v>0</v>
      </c>
      <c r="H24" s="12" t="s">
        <v>182</v>
      </c>
      <c r="I24" s="11">
        <v>720</v>
      </c>
      <c r="J24" s="10"/>
      <c r="K24" s="9">
        <v>720</v>
      </c>
      <c r="L24" s="8">
        <f t="shared" si="0"/>
        <v>0</v>
      </c>
    </row>
    <row r="25" spans="1:12" ht="218.25" customHeight="1" thickBot="1" x14ac:dyDescent="0.3">
      <c r="A25" s="47"/>
      <c r="B25" s="24" t="s">
        <v>32</v>
      </c>
      <c r="C25" s="12" t="s">
        <v>31</v>
      </c>
      <c r="D25" s="12" t="s">
        <v>24</v>
      </c>
      <c r="E25" s="23" t="s">
        <v>171</v>
      </c>
      <c r="F25" s="22" t="s">
        <v>4</v>
      </c>
      <c r="G25" s="13" t="s">
        <v>0</v>
      </c>
      <c r="H25" s="12" t="s">
        <v>182</v>
      </c>
      <c r="I25" s="11">
        <v>1592</v>
      </c>
      <c r="J25" s="10"/>
      <c r="K25" s="9">
        <v>1592</v>
      </c>
      <c r="L25" s="8">
        <f t="shared" si="0"/>
        <v>0</v>
      </c>
    </row>
    <row r="26" spans="1:12" ht="218.25" customHeight="1" thickBot="1" x14ac:dyDescent="0.3">
      <c r="A26" s="47"/>
      <c r="B26" s="24" t="s">
        <v>112</v>
      </c>
      <c r="C26" s="12" t="s">
        <v>113</v>
      </c>
      <c r="D26" s="12" t="s">
        <v>24</v>
      </c>
      <c r="E26" s="23" t="s">
        <v>170</v>
      </c>
      <c r="F26" s="22" t="s">
        <v>4</v>
      </c>
      <c r="G26" s="13" t="s">
        <v>0</v>
      </c>
      <c r="H26" s="12" t="s">
        <v>181</v>
      </c>
      <c r="I26" s="11">
        <v>151</v>
      </c>
      <c r="J26" s="10"/>
      <c r="K26" s="9">
        <v>151</v>
      </c>
      <c r="L26" s="8">
        <f t="shared" si="0"/>
        <v>0</v>
      </c>
    </row>
    <row r="27" spans="1:12" ht="218.25" customHeight="1" thickBot="1" x14ac:dyDescent="0.3">
      <c r="A27" s="47"/>
      <c r="B27" s="24" t="s">
        <v>61</v>
      </c>
      <c r="C27" s="12" t="s">
        <v>31</v>
      </c>
      <c r="D27" s="12" t="s">
        <v>24</v>
      </c>
      <c r="E27" s="13" t="s">
        <v>78</v>
      </c>
      <c r="F27" s="25" t="s">
        <v>4</v>
      </c>
      <c r="G27" s="13" t="s">
        <v>8</v>
      </c>
      <c r="H27" s="12" t="s">
        <v>132</v>
      </c>
      <c r="I27" s="11">
        <v>300</v>
      </c>
      <c r="J27" s="10"/>
      <c r="K27" s="9">
        <v>300</v>
      </c>
      <c r="L27" s="8">
        <f t="shared" si="0"/>
        <v>0</v>
      </c>
    </row>
    <row r="28" spans="1:12" ht="218.25" customHeight="1" thickBot="1" x14ac:dyDescent="0.3">
      <c r="A28" s="47"/>
      <c r="B28" s="24" t="s">
        <v>61</v>
      </c>
      <c r="C28" s="12" t="s">
        <v>31</v>
      </c>
      <c r="D28" s="12" t="s">
        <v>24</v>
      </c>
      <c r="E28" s="13" t="s">
        <v>70</v>
      </c>
      <c r="F28" s="22" t="s">
        <v>4</v>
      </c>
      <c r="G28" s="13" t="s">
        <v>0</v>
      </c>
      <c r="H28" s="12" t="s">
        <v>132</v>
      </c>
      <c r="I28" s="11">
        <v>3000</v>
      </c>
      <c r="J28" s="10"/>
      <c r="K28" s="9">
        <v>3000</v>
      </c>
      <c r="L28" s="8">
        <f t="shared" si="0"/>
        <v>0</v>
      </c>
    </row>
    <row r="29" spans="1:12" ht="218.25" customHeight="1" thickBot="1" x14ac:dyDescent="0.3">
      <c r="A29" s="47"/>
      <c r="B29" s="24" t="s">
        <v>32</v>
      </c>
      <c r="C29" s="12" t="s">
        <v>31</v>
      </c>
      <c r="D29" s="12" t="s">
        <v>24</v>
      </c>
      <c r="E29" s="13" t="s">
        <v>70</v>
      </c>
      <c r="F29" s="22" t="s">
        <v>4</v>
      </c>
      <c r="G29" s="13" t="s">
        <v>0</v>
      </c>
      <c r="H29" s="12" t="s">
        <v>132</v>
      </c>
      <c r="I29" s="11">
        <v>1000</v>
      </c>
      <c r="J29" s="10"/>
      <c r="K29" s="9">
        <v>1000</v>
      </c>
      <c r="L29" s="8">
        <f t="shared" si="0"/>
        <v>0</v>
      </c>
    </row>
    <row r="30" spans="1:12" ht="218.25" customHeight="1" thickBot="1" x14ac:dyDescent="0.3">
      <c r="A30" s="47"/>
      <c r="B30" s="24" t="s">
        <v>29</v>
      </c>
      <c r="C30" s="12" t="s">
        <v>31</v>
      </c>
      <c r="D30" s="12" t="s">
        <v>24</v>
      </c>
      <c r="E30" s="13" t="s">
        <v>171</v>
      </c>
      <c r="F30" s="22" t="s">
        <v>4</v>
      </c>
      <c r="G30" s="13" t="s">
        <v>0</v>
      </c>
      <c r="H30" s="12" t="s">
        <v>132</v>
      </c>
      <c r="I30" s="11">
        <v>2000</v>
      </c>
      <c r="J30" s="10"/>
      <c r="K30" s="9">
        <v>2000</v>
      </c>
      <c r="L30" s="8">
        <f t="shared" si="0"/>
        <v>0</v>
      </c>
    </row>
    <row r="31" spans="1:12" ht="218.25" customHeight="1" thickBot="1" x14ac:dyDescent="0.3">
      <c r="A31" s="47"/>
      <c r="B31" s="24" t="s">
        <v>95</v>
      </c>
      <c r="C31" s="12" t="s">
        <v>15</v>
      </c>
      <c r="D31" s="12" t="s">
        <v>24</v>
      </c>
      <c r="E31" s="13" t="s">
        <v>96</v>
      </c>
      <c r="F31" s="22" t="s">
        <v>4</v>
      </c>
      <c r="G31" s="13" t="s">
        <v>0</v>
      </c>
      <c r="H31" s="12" t="s">
        <v>132</v>
      </c>
      <c r="I31" s="11">
        <v>1500</v>
      </c>
      <c r="J31" s="10">
        <v>1000</v>
      </c>
      <c r="K31" s="9">
        <v>500</v>
      </c>
      <c r="L31" s="8">
        <f t="shared" si="0"/>
        <v>0</v>
      </c>
    </row>
    <row r="32" spans="1:12" ht="218.25" customHeight="1" thickBot="1" x14ac:dyDescent="0.3">
      <c r="A32" s="47"/>
      <c r="B32" s="24" t="s">
        <v>95</v>
      </c>
      <c r="C32" s="12" t="s">
        <v>15</v>
      </c>
      <c r="D32" s="12" t="s">
        <v>24</v>
      </c>
      <c r="E32" s="13" t="s">
        <v>96</v>
      </c>
      <c r="F32" s="22" t="s">
        <v>4</v>
      </c>
      <c r="G32" s="13" t="s">
        <v>0</v>
      </c>
      <c r="H32" s="12" t="s">
        <v>181</v>
      </c>
      <c r="I32" s="11">
        <v>2000</v>
      </c>
      <c r="J32" s="10"/>
      <c r="K32" s="9">
        <v>2000</v>
      </c>
      <c r="L32" s="8">
        <f t="shared" si="0"/>
        <v>0</v>
      </c>
    </row>
    <row r="33" spans="1:12" ht="218.25" customHeight="1" thickBot="1" x14ac:dyDescent="0.3">
      <c r="A33" s="47"/>
      <c r="B33" s="24" t="s">
        <v>38</v>
      </c>
      <c r="C33" s="12" t="s">
        <v>27</v>
      </c>
      <c r="D33" s="12" t="s">
        <v>24</v>
      </c>
      <c r="E33" s="13" t="s">
        <v>76</v>
      </c>
      <c r="F33" s="22" t="s">
        <v>4</v>
      </c>
      <c r="G33" s="13" t="s">
        <v>0</v>
      </c>
      <c r="H33" s="12" t="s">
        <v>181</v>
      </c>
      <c r="I33" s="11">
        <v>1000</v>
      </c>
      <c r="J33" s="10"/>
      <c r="K33" s="9">
        <v>1000</v>
      </c>
      <c r="L33" s="8">
        <f t="shared" si="0"/>
        <v>0</v>
      </c>
    </row>
    <row r="34" spans="1:12" ht="218.25" customHeight="1" thickBot="1" x14ac:dyDescent="0.3">
      <c r="A34" s="48"/>
      <c r="B34" s="24" t="s">
        <v>112</v>
      </c>
      <c r="C34" s="12" t="s">
        <v>113</v>
      </c>
      <c r="D34" s="12" t="s">
        <v>24</v>
      </c>
      <c r="E34" s="13" t="s">
        <v>170</v>
      </c>
      <c r="F34" s="22" t="s">
        <v>4</v>
      </c>
      <c r="G34" s="13" t="s">
        <v>0</v>
      </c>
      <c r="H34" s="12" t="s">
        <v>132</v>
      </c>
      <c r="I34" s="11">
        <v>1998</v>
      </c>
      <c r="J34" s="10"/>
      <c r="K34" s="9">
        <v>1998</v>
      </c>
      <c r="L34" s="8">
        <f t="shared" si="0"/>
        <v>0</v>
      </c>
    </row>
    <row r="35" spans="1:12" ht="218.25" customHeight="1" thickBot="1" x14ac:dyDescent="0.3">
      <c r="A35" s="46" t="s">
        <v>23</v>
      </c>
      <c r="B35" s="24" t="s">
        <v>12</v>
      </c>
      <c r="C35" s="12" t="s">
        <v>6</v>
      </c>
      <c r="D35" s="12" t="s">
        <v>20</v>
      </c>
      <c r="E35" s="13" t="s">
        <v>22</v>
      </c>
      <c r="F35" s="22" t="s">
        <v>4</v>
      </c>
      <c r="G35" s="13" t="s">
        <v>0</v>
      </c>
      <c r="H35" s="12" t="s">
        <v>132</v>
      </c>
      <c r="I35" s="11">
        <v>3000</v>
      </c>
      <c r="J35" s="10">
        <v>1000</v>
      </c>
      <c r="K35" s="9">
        <v>2000</v>
      </c>
      <c r="L35" s="8">
        <f t="shared" si="0"/>
        <v>0</v>
      </c>
    </row>
    <row r="36" spans="1:12" ht="218.25" customHeight="1" thickBot="1" x14ac:dyDescent="0.3">
      <c r="A36" s="47"/>
      <c r="B36" s="24" t="s">
        <v>21</v>
      </c>
      <c r="C36" s="12" t="s">
        <v>3</v>
      </c>
      <c r="D36" s="12" t="s">
        <v>20</v>
      </c>
      <c r="E36" s="13" t="s">
        <v>57</v>
      </c>
      <c r="F36" s="22" t="s">
        <v>9</v>
      </c>
      <c r="G36" s="13" t="s">
        <v>0</v>
      </c>
      <c r="H36" s="12" t="s">
        <v>132</v>
      </c>
      <c r="I36" s="11">
        <v>7000</v>
      </c>
      <c r="J36" s="10">
        <v>2000</v>
      </c>
      <c r="K36" s="9">
        <v>5000</v>
      </c>
      <c r="L36" s="8">
        <f t="shared" si="0"/>
        <v>0</v>
      </c>
    </row>
    <row r="37" spans="1:12" ht="218.25" customHeight="1" thickBot="1" x14ac:dyDescent="0.3">
      <c r="A37" s="47"/>
      <c r="B37" s="24" t="s">
        <v>21</v>
      </c>
      <c r="C37" s="12" t="s">
        <v>3</v>
      </c>
      <c r="D37" s="12" t="s">
        <v>20</v>
      </c>
      <c r="E37" s="13" t="s">
        <v>56</v>
      </c>
      <c r="F37" s="22" t="s">
        <v>4</v>
      </c>
      <c r="G37" s="13" t="s">
        <v>0</v>
      </c>
      <c r="H37" s="12" t="s">
        <v>181</v>
      </c>
      <c r="I37" s="11">
        <v>400</v>
      </c>
      <c r="J37" s="10"/>
      <c r="K37" s="9">
        <v>400</v>
      </c>
      <c r="L37" s="8">
        <f t="shared" si="0"/>
        <v>0</v>
      </c>
    </row>
    <row r="38" spans="1:12" ht="218.25" customHeight="1" thickBot="1" x14ac:dyDescent="0.3">
      <c r="A38" s="48"/>
      <c r="B38" s="24" t="s">
        <v>21</v>
      </c>
      <c r="C38" s="12" t="s">
        <v>3</v>
      </c>
      <c r="D38" s="12" t="s">
        <v>20</v>
      </c>
      <c r="E38" s="13" t="s">
        <v>57</v>
      </c>
      <c r="F38" s="22" t="s">
        <v>4</v>
      </c>
      <c r="G38" s="13" t="s">
        <v>0</v>
      </c>
      <c r="H38" s="12" t="s">
        <v>181</v>
      </c>
      <c r="I38" s="11">
        <v>400</v>
      </c>
      <c r="J38" s="10"/>
      <c r="K38" s="9">
        <v>400</v>
      </c>
      <c r="L38" s="8">
        <f t="shared" si="0"/>
        <v>0</v>
      </c>
    </row>
    <row r="39" spans="1:12" ht="218.25" customHeight="1" thickBot="1" x14ac:dyDescent="0.3">
      <c r="A39" s="46" t="s">
        <v>19</v>
      </c>
      <c r="B39" s="24" t="s">
        <v>7</v>
      </c>
      <c r="C39" s="12" t="s">
        <v>15</v>
      </c>
      <c r="D39" s="12" t="s">
        <v>14</v>
      </c>
      <c r="E39" s="13" t="s">
        <v>65</v>
      </c>
      <c r="F39" s="22" t="s">
        <v>4</v>
      </c>
      <c r="G39" s="13" t="s">
        <v>0</v>
      </c>
      <c r="H39" s="12" t="s">
        <v>132</v>
      </c>
      <c r="I39" s="11">
        <v>5000</v>
      </c>
      <c r="J39" s="10">
        <v>1000</v>
      </c>
      <c r="K39" s="9">
        <v>4000</v>
      </c>
      <c r="L39" s="8">
        <f t="shared" si="0"/>
        <v>0</v>
      </c>
    </row>
    <row r="40" spans="1:12" ht="218.25" customHeight="1" thickBot="1" x14ac:dyDescent="0.3">
      <c r="A40" s="47"/>
      <c r="B40" s="24" t="s">
        <v>7</v>
      </c>
      <c r="C40" s="12" t="s">
        <v>15</v>
      </c>
      <c r="D40" s="12" t="s">
        <v>14</v>
      </c>
      <c r="E40" s="13" t="s">
        <v>58</v>
      </c>
      <c r="F40" s="22" t="s">
        <v>4</v>
      </c>
      <c r="G40" s="13" t="s">
        <v>0</v>
      </c>
      <c r="H40" s="12" t="s">
        <v>132</v>
      </c>
      <c r="I40" s="11">
        <v>2490</v>
      </c>
      <c r="J40" s="10">
        <v>1000</v>
      </c>
      <c r="K40" s="9">
        <v>1490</v>
      </c>
      <c r="L40" s="8">
        <f t="shared" si="0"/>
        <v>0</v>
      </c>
    </row>
    <row r="41" spans="1:12" ht="218.25" customHeight="1" thickBot="1" x14ac:dyDescent="0.3">
      <c r="A41" s="47"/>
      <c r="B41" s="24" t="s">
        <v>12</v>
      </c>
      <c r="C41" s="12" t="s">
        <v>118</v>
      </c>
      <c r="D41" s="12" t="s">
        <v>123</v>
      </c>
      <c r="E41" s="13" t="s">
        <v>124</v>
      </c>
      <c r="F41" s="22" t="s">
        <v>9</v>
      </c>
      <c r="G41" s="13" t="s">
        <v>0</v>
      </c>
      <c r="H41" s="12" t="s">
        <v>181</v>
      </c>
      <c r="I41" s="11">
        <v>5000</v>
      </c>
      <c r="J41" s="10">
        <v>1000</v>
      </c>
      <c r="K41" s="9">
        <v>4000</v>
      </c>
      <c r="L41" s="8">
        <f t="shared" si="0"/>
        <v>0</v>
      </c>
    </row>
    <row r="42" spans="1:12" ht="218.25" customHeight="1" thickBot="1" x14ac:dyDescent="0.3">
      <c r="A42" s="47"/>
      <c r="B42" s="24" t="s">
        <v>12</v>
      </c>
      <c r="C42" s="12" t="s">
        <v>3</v>
      </c>
      <c r="D42" s="12" t="s">
        <v>11</v>
      </c>
      <c r="E42" s="13" t="s">
        <v>10</v>
      </c>
      <c r="F42" s="22" t="s">
        <v>4</v>
      </c>
      <c r="G42" s="13" t="s">
        <v>0</v>
      </c>
      <c r="H42" s="12" t="s">
        <v>132</v>
      </c>
      <c r="I42" s="11">
        <v>2000</v>
      </c>
      <c r="J42" s="10">
        <v>2000</v>
      </c>
      <c r="K42" s="9"/>
      <c r="L42" s="8">
        <f t="shared" si="0"/>
        <v>0</v>
      </c>
    </row>
    <row r="43" spans="1:12" ht="218.25" customHeight="1" thickBot="1" x14ac:dyDescent="0.3">
      <c r="A43" s="47"/>
      <c r="B43" s="24" t="s">
        <v>12</v>
      </c>
      <c r="C43" s="12" t="s">
        <v>3</v>
      </c>
      <c r="D43" s="12" t="s">
        <v>11</v>
      </c>
      <c r="E43" s="13" t="s">
        <v>10</v>
      </c>
      <c r="F43" s="22" t="s">
        <v>9</v>
      </c>
      <c r="G43" s="13" t="s">
        <v>0</v>
      </c>
      <c r="H43" s="12" t="s">
        <v>181</v>
      </c>
      <c r="I43" s="11">
        <v>7000</v>
      </c>
      <c r="J43" s="10"/>
      <c r="K43" s="9">
        <v>7000</v>
      </c>
      <c r="L43" s="8">
        <f t="shared" si="0"/>
        <v>0</v>
      </c>
    </row>
    <row r="44" spans="1:12" ht="218.25" customHeight="1" thickBot="1" x14ac:dyDescent="0.3">
      <c r="A44" s="47"/>
      <c r="B44" s="24" t="s">
        <v>7</v>
      </c>
      <c r="C44" s="12" t="s">
        <v>6</v>
      </c>
      <c r="D44" s="12" t="s">
        <v>1</v>
      </c>
      <c r="E44" s="13" t="s">
        <v>5</v>
      </c>
      <c r="F44" s="22" t="s">
        <v>4</v>
      </c>
      <c r="G44" s="13" t="s">
        <v>0</v>
      </c>
      <c r="H44" s="12" t="s">
        <v>132</v>
      </c>
      <c r="I44" s="11">
        <v>4000</v>
      </c>
      <c r="J44" s="10"/>
      <c r="K44" s="9">
        <v>4000</v>
      </c>
      <c r="L44" s="8">
        <f t="shared" si="0"/>
        <v>0</v>
      </c>
    </row>
    <row r="45" spans="1:12" ht="218.25" customHeight="1" thickBot="1" x14ac:dyDescent="0.3">
      <c r="A45" s="48"/>
      <c r="B45" s="24" t="s">
        <v>7</v>
      </c>
      <c r="C45" s="12" t="s">
        <v>6</v>
      </c>
      <c r="D45" s="12" t="s">
        <v>1</v>
      </c>
      <c r="E45" s="13" t="s">
        <v>5</v>
      </c>
      <c r="F45" s="22" t="s">
        <v>9</v>
      </c>
      <c r="G45" s="13" t="s">
        <v>0</v>
      </c>
      <c r="H45" s="12" t="s">
        <v>181</v>
      </c>
      <c r="I45" s="11">
        <v>5000</v>
      </c>
      <c r="J45" s="10">
        <v>2000</v>
      </c>
      <c r="K45" s="9">
        <v>3000</v>
      </c>
      <c r="L45" s="8">
        <f t="shared" si="0"/>
        <v>0</v>
      </c>
    </row>
    <row r="105" spans="1:11" s="2" customFormat="1" x14ac:dyDescent="0.25">
      <c r="A105" s="7"/>
      <c r="B105" s="5"/>
      <c r="C105" s="7"/>
      <c r="D105" s="6"/>
      <c r="E105" s="5"/>
      <c r="F105" s="6"/>
      <c r="G105" s="5"/>
      <c r="H105" s="5"/>
      <c r="I105" s="5"/>
      <c r="J105" s="4"/>
      <c r="K105" s="3" t="s">
        <v>148</v>
      </c>
    </row>
  </sheetData>
  <autoFilter ref="A2:L45"/>
  <dataConsolidate/>
  <mergeCells count="5">
    <mergeCell ref="A39:A45"/>
    <mergeCell ref="A1:L1"/>
    <mergeCell ref="A3:A20"/>
    <mergeCell ref="A21:A34"/>
    <mergeCell ref="A35:A38"/>
  </mergeCells>
  <conditionalFormatting sqref="I2:I45 K3:L45">
    <cfRule type="cellIs" dxfId="163" priority="2" operator="lessThan">
      <formula>0</formula>
    </cfRule>
  </conditionalFormatting>
  <conditionalFormatting sqref="L2">
    <cfRule type="cellIs" dxfId="162" priority="1" operator="lessThan">
      <formula>0</formula>
    </cfRule>
  </conditionalFormatting>
  <printOptions horizontalCentered="1"/>
  <pageMargins left="0" right="0" top="0" bottom="0" header="0" footer="0"/>
  <pageSetup paperSize="9" scale="10" fitToHeight="0" orientation="portrait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11"/>
  <sheetViews>
    <sheetView showGridLines="0" view="pageBreakPreview" topLeftCell="A38" zoomScale="20" zoomScaleNormal="27" zoomScaleSheetLayoutView="20" workbookViewId="0">
      <selection activeCell="I3" sqref="I3:I54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183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9.5" customHeight="1" thickBot="1" x14ac:dyDescent="0.3">
      <c r="A3" s="50" t="s">
        <v>41</v>
      </c>
      <c r="B3" s="13" t="s">
        <v>136</v>
      </c>
      <c r="C3" s="12" t="s">
        <v>118</v>
      </c>
      <c r="D3" s="12" t="s">
        <v>126</v>
      </c>
      <c r="E3" s="13" t="s">
        <v>169</v>
      </c>
      <c r="F3" s="22" t="s">
        <v>122</v>
      </c>
      <c r="G3" s="13" t="s">
        <v>0</v>
      </c>
      <c r="H3" s="12" t="s">
        <v>181</v>
      </c>
      <c r="I3" s="11">
        <v>2000</v>
      </c>
      <c r="J3" s="10">
        <v>1000</v>
      </c>
      <c r="K3" s="9">
        <v>1000</v>
      </c>
      <c r="L3" s="8">
        <f t="shared" ref="L3:L54" si="0">K3+J3-I3</f>
        <v>0</v>
      </c>
    </row>
    <row r="4" spans="1:12" ht="169.5" customHeight="1" thickBot="1" x14ac:dyDescent="0.3">
      <c r="A4" s="50"/>
      <c r="B4" s="13" t="s">
        <v>35</v>
      </c>
      <c r="C4" s="12" t="s">
        <v>26</v>
      </c>
      <c r="D4" s="12" t="s">
        <v>24</v>
      </c>
      <c r="E4" s="13" t="s">
        <v>25</v>
      </c>
      <c r="F4" s="22" t="s">
        <v>4</v>
      </c>
      <c r="G4" s="13" t="s">
        <v>0</v>
      </c>
      <c r="H4" s="12" t="s">
        <v>181</v>
      </c>
      <c r="I4" s="11">
        <v>1000</v>
      </c>
      <c r="J4" s="10">
        <v>500</v>
      </c>
      <c r="K4" s="9">
        <v>500</v>
      </c>
      <c r="L4" s="8">
        <f t="shared" si="0"/>
        <v>0</v>
      </c>
    </row>
    <row r="5" spans="1:12" ht="169.5" customHeight="1" thickBot="1" x14ac:dyDescent="0.3">
      <c r="A5" s="50"/>
      <c r="B5" s="13" t="s">
        <v>28</v>
      </c>
      <c r="C5" s="12" t="s">
        <v>34</v>
      </c>
      <c r="D5" s="12" t="s">
        <v>24</v>
      </c>
      <c r="E5" s="13" t="s">
        <v>33</v>
      </c>
      <c r="F5" s="22" t="s">
        <v>4</v>
      </c>
      <c r="G5" s="13" t="s">
        <v>0</v>
      </c>
      <c r="H5" s="12" t="s">
        <v>181</v>
      </c>
      <c r="I5" s="11">
        <v>2060</v>
      </c>
      <c r="J5" s="10">
        <v>1000</v>
      </c>
      <c r="K5" s="9">
        <v>1060</v>
      </c>
      <c r="L5" s="8">
        <f t="shared" si="0"/>
        <v>0</v>
      </c>
    </row>
    <row r="6" spans="1:12" ht="169.5" customHeight="1" thickBot="1" x14ac:dyDescent="0.3">
      <c r="A6" s="50"/>
      <c r="B6" s="13" t="s">
        <v>66</v>
      </c>
      <c r="C6" s="12" t="s">
        <v>62</v>
      </c>
      <c r="D6" s="12" t="s">
        <v>24</v>
      </c>
      <c r="E6" s="13" t="s">
        <v>184</v>
      </c>
      <c r="F6" s="22" t="s">
        <v>4</v>
      </c>
      <c r="G6" s="13" t="s">
        <v>37</v>
      </c>
      <c r="H6" s="12" t="s">
        <v>132</v>
      </c>
      <c r="I6" s="11">
        <v>414</v>
      </c>
      <c r="J6" s="10">
        <v>414</v>
      </c>
      <c r="K6" s="9"/>
      <c r="L6" s="8">
        <f t="shared" si="0"/>
        <v>0</v>
      </c>
    </row>
    <row r="7" spans="1:12" ht="169.5" customHeight="1" thickBot="1" x14ac:dyDescent="0.3">
      <c r="A7" s="50"/>
      <c r="B7" s="13" t="s">
        <v>35</v>
      </c>
      <c r="C7" s="12" t="s">
        <v>26</v>
      </c>
      <c r="D7" s="12" t="s">
        <v>24</v>
      </c>
      <c r="E7" s="13" t="s">
        <v>25</v>
      </c>
      <c r="F7" s="22" t="s">
        <v>4</v>
      </c>
      <c r="G7" s="13" t="s">
        <v>0</v>
      </c>
      <c r="H7" s="12" t="s">
        <v>181</v>
      </c>
      <c r="I7" s="11">
        <v>1000</v>
      </c>
      <c r="J7" s="10"/>
      <c r="K7" s="9">
        <v>1000</v>
      </c>
      <c r="L7" s="8">
        <f t="shared" si="0"/>
        <v>0</v>
      </c>
    </row>
    <row r="8" spans="1:12" ht="169.5" customHeight="1" thickBot="1" x14ac:dyDescent="0.3">
      <c r="A8" s="50"/>
      <c r="B8" s="13" t="s">
        <v>112</v>
      </c>
      <c r="C8" s="12" t="s">
        <v>113</v>
      </c>
      <c r="D8" s="12" t="s">
        <v>24</v>
      </c>
      <c r="E8" s="13" t="s">
        <v>114</v>
      </c>
      <c r="F8" s="22" t="s">
        <v>4</v>
      </c>
      <c r="G8" s="13" t="s">
        <v>0</v>
      </c>
      <c r="H8" s="12" t="s">
        <v>181</v>
      </c>
      <c r="I8" s="11">
        <v>900</v>
      </c>
      <c r="J8" s="10"/>
      <c r="K8" s="9">
        <v>900</v>
      </c>
      <c r="L8" s="8">
        <f t="shared" si="0"/>
        <v>0</v>
      </c>
    </row>
    <row r="9" spans="1:12" ht="169.5" customHeight="1" thickBot="1" x14ac:dyDescent="0.3">
      <c r="A9" s="50"/>
      <c r="B9" s="13" t="s">
        <v>112</v>
      </c>
      <c r="C9" s="12" t="s">
        <v>113</v>
      </c>
      <c r="D9" s="12" t="s">
        <v>24</v>
      </c>
      <c r="E9" s="13" t="s">
        <v>115</v>
      </c>
      <c r="F9" s="22" t="s">
        <v>9</v>
      </c>
      <c r="G9" s="13" t="s">
        <v>0</v>
      </c>
      <c r="H9" s="12" t="s">
        <v>181</v>
      </c>
      <c r="I9" s="11">
        <v>2000</v>
      </c>
      <c r="J9" s="10"/>
      <c r="K9" s="9">
        <v>2000</v>
      </c>
      <c r="L9" s="8">
        <f t="shared" si="0"/>
        <v>0</v>
      </c>
    </row>
    <row r="10" spans="1:12" ht="169.5" customHeight="1" thickBot="1" x14ac:dyDescent="0.3">
      <c r="A10" s="50"/>
      <c r="B10" s="13" t="s">
        <v>28</v>
      </c>
      <c r="C10" s="12" t="s">
        <v>155</v>
      </c>
      <c r="D10" s="12" t="s">
        <v>24</v>
      </c>
      <c r="E10" s="13" t="s">
        <v>156</v>
      </c>
      <c r="F10" s="22" t="s">
        <v>4</v>
      </c>
      <c r="G10" s="13" t="s">
        <v>0</v>
      </c>
      <c r="H10" s="12" t="s">
        <v>181</v>
      </c>
      <c r="I10" s="11">
        <v>1000</v>
      </c>
      <c r="J10" s="10"/>
      <c r="K10" s="9">
        <v>1000</v>
      </c>
      <c r="L10" s="8">
        <f t="shared" si="0"/>
        <v>0</v>
      </c>
    </row>
    <row r="11" spans="1:12" ht="169.5" customHeight="1" thickBot="1" x14ac:dyDescent="0.3">
      <c r="A11" s="50"/>
      <c r="B11" s="13" t="s">
        <v>66</v>
      </c>
      <c r="C11" s="12" t="s">
        <v>62</v>
      </c>
      <c r="D11" s="12" t="s">
        <v>24</v>
      </c>
      <c r="E11" s="13" t="s">
        <v>185</v>
      </c>
      <c r="F11" s="22" t="s">
        <v>4</v>
      </c>
      <c r="G11" s="13" t="s">
        <v>37</v>
      </c>
      <c r="H11" s="12" t="s">
        <v>132</v>
      </c>
      <c r="I11" s="11">
        <v>212</v>
      </c>
      <c r="J11" s="10"/>
      <c r="K11" s="9">
        <v>212</v>
      </c>
      <c r="L11" s="8">
        <f t="shared" si="0"/>
        <v>0</v>
      </c>
    </row>
    <row r="12" spans="1:12" ht="169.5" customHeight="1" thickBot="1" x14ac:dyDescent="0.3">
      <c r="A12" s="50"/>
      <c r="B12" s="13" t="s">
        <v>66</v>
      </c>
      <c r="C12" s="12" t="s">
        <v>62</v>
      </c>
      <c r="D12" s="12" t="s">
        <v>24</v>
      </c>
      <c r="E12" s="13" t="s">
        <v>186</v>
      </c>
      <c r="F12" s="22" t="s">
        <v>4</v>
      </c>
      <c r="G12" s="13" t="s">
        <v>37</v>
      </c>
      <c r="H12" s="12" t="s">
        <v>132</v>
      </c>
      <c r="I12" s="11">
        <v>206</v>
      </c>
      <c r="J12" s="10"/>
      <c r="K12" s="9">
        <v>206</v>
      </c>
      <c r="L12" s="8">
        <f t="shared" si="0"/>
        <v>0</v>
      </c>
    </row>
    <row r="13" spans="1:12" ht="169.5" customHeight="1" thickBot="1" x14ac:dyDescent="0.3">
      <c r="A13" s="50"/>
      <c r="B13" s="13" t="s">
        <v>95</v>
      </c>
      <c r="C13" s="12" t="s">
        <v>15</v>
      </c>
      <c r="D13" s="12" t="s">
        <v>24</v>
      </c>
      <c r="E13" s="13" t="s">
        <v>96</v>
      </c>
      <c r="F13" s="22" t="s">
        <v>4</v>
      </c>
      <c r="G13" s="13" t="s">
        <v>0</v>
      </c>
      <c r="H13" s="12" t="s">
        <v>181</v>
      </c>
      <c r="I13" s="11">
        <v>2054</v>
      </c>
      <c r="J13" s="10"/>
      <c r="K13" s="9">
        <f>1000+1054</f>
        <v>2054</v>
      </c>
      <c r="L13" s="8">
        <f t="shared" si="0"/>
        <v>0</v>
      </c>
    </row>
    <row r="14" spans="1:12" ht="169.5" customHeight="1" thickBot="1" x14ac:dyDescent="0.3">
      <c r="A14" s="50"/>
      <c r="B14" s="13" t="s">
        <v>38</v>
      </c>
      <c r="C14" s="12" t="s">
        <v>27</v>
      </c>
      <c r="D14" s="12" t="s">
        <v>24</v>
      </c>
      <c r="E14" s="13" t="s">
        <v>55</v>
      </c>
      <c r="F14" s="22" t="s">
        <v>9</v>
      </c>
      <c r="G14" s="13" t="s">
        <v>0</v>
      </c>
      <c r="H14" s="12" t="s">
        <v>187</v>
      </c>
      <c r="I14" s="11">
        <v>1200</v>
      </c>
      <c r="J14" s="10">
        <v>1200</v>
      </c>
      <c r="K14" s="9"/>
      <c r="L14" s="8">
        <f t="shared" si="0"/>
        <v>0</v>
      </c>
    </row>
    <row r="15" spans="1:12" ht="169.5" customHeight="1" thickBot="1" x14ac:dyDescent="0.3">
      <c r="A15" s="50"/>
      <c r="B15" s="13" t="s">
        <v>38</v>
      </c>
      <c r="C15" s="12" t="s">
        <v>27</v>
      </c>
      <c r="D15" s="12" t="s">
        <v>24</v>
      </c>
      <c r="E15" s="13" t="s">
        <v>76</v>
      </c>
      <c r="F15" s="22" t="s">
        <v>4</v>
      </c>
      <c r="G15" s="13" t="s">
        <v>8</v>
      </c>
      <c r="H15" s="12" t="s">
        <v>187</v>
      </c>
      <c r="I15" s="11">
        <v>50</v>
      </c>
      <c r="J15" s="10"/>
      <c r="K15" s="9">
        <v>50</v>
      </c>
      <c r="L15" s="8">
        <f t="shared" si="0"/>
        <v>0</v>
      </c>
    </row>
    <row r="16" spans="1:12" ht="169.5" customHeight="1" thickBot="1" x14ac:dyDescent="0.3">
      <c r="A16" s="50"/>
      <c r="B16" s="13" t="s">
        <v>32</v>
      </c>
      <c r="C16" s="12" t="s">
        <v>31</v>
      </c>
      <c r="D16" s="12" t="s">
        <v>24</v>
      </c>
      <c r="E16" s="13" t="s">
        <v>171</v>
      </c>
      <c r="F16" s="22" t="s">
        <v>4</v>
      </c>
      <c r="G16" s="13" t="s">
        <v>8</v>
      </c>
      <c r="H16" s="12" t="s">
        <v>132</v>
      </c>
      <c r="I16" s="11">
        <v>100</v>
      </c>
      <c r="J16" s="10"/>
      <c r="K16" s="9">
        <v>100</v>
      </c>
      <c r="L16" s="8">
        <f t="shared" si="0"/>
        <v>0</v>
      </c>
    </row>
    <row r="17" spans="1:12" ht="169.5" customHeight="1" thickBot="1" x14ac:dyDescent="0.3">
      <c r="A17" s="50"/>
      <c r="B17" s="13" t="s">
        <v>32</v>
      </c>
      <c r="C17" s="12" t="s">
        <v>31</v>
      </c>
      <c r="D17" s="12" t="s">
        <v>24</v>
      </c>
      <c r="E17" s="13" t="s">
        <v>154</v>
      </c>
      <c r="F17" s="22" t="s">
        <v>4</v>
      </c>
      <c r="G17" s="13" t="s">
        <v>8</v>
      </c>
      <c r="H17" s="12" t="s">
        <v>132</v>
      </c>
      <c r="I17" s="11">
        <v>60</v>
      </c>
      <c r="J17" s="10"/>
      <c r="K17" s="9">
        <v>60</v>
      </c>
      <c r="L17" s="8">
        <f t="shared" si="0"/>
        <v>0</v>
      </c>
    </row>
    <row r="18" spans="1:12" ht="169.5" customHeight="1" thickBot="1" x14ac:dyDescent="0.3">
      <c r="A18" s="50"/>
      <c r="B18" s="13" t="s">
        <v>32</v>
      </c>
      <c r="C18" s="12" t="s">
        <v>31</v>
      </c>
      <c r="D18" s="12" t="s">
        <v>24</v>
      </c>
      <c r="E18" s="13" t="s">
        <v>70</v>
      </c>
      <c r="F18" s="22" t="s">
        <v>4</v>
      </c>
      <c r="G18" s="13" t="s">
        <v>0</v>
      </c>
      <c r="H18" s="12" t="s">
        <v>132</v>
      </c>
      <c r="I18" s="11">
        <v>1270</v>
      </c>
      <c r="J18" s="10"/>
      <c r="K18" s="9">
        <v>1270</v>
      </c>
      <c r="L18" s="8">
        <f t="shared" si="0"/>
        <v>0</v>
      </c>
    </row>
    <row r="19" spans="1:12" ht="169.5" customHeight="1" thickBot="1" x14ac:dyDescent="0.3">
      <c r="A19" s="50"/>
      <c r="B19" s="13" t="s">
        <v>32</v>
      </c>
      <c r="C19" s="12" t="s">
        <v>31</v>
      </c>
      <c r="D19" s="12" t="s">
        <v>24</v>
      </c>
      <c r="E19" s="13" t="s">
        <v>70</v>
      </c>
      <c r="F19" s="22" t="s">
        <v>4</v>
      </c>
      <c r="G19" s="13" t="s">
        <v>0</v>
      </c>
      <c r="H19" s="12" t="s">
        <v>181</v>
      </c>
      <c r="I19" s="11">
        <v>1820</v>
      </c>
      <c r="J19" s="10">
        <v>1000</v>
      </c>
      <c r="K19" s="9">
        <v>820</v>
      </c>
      <c r="L19" s="8">
        <f t="shared" si="0"/>
        <v>0</v>
      </c>
    </row>
    <row r="20" spans="1:12" ht="169.5" customHeight="1" thickBot="1" x14ac:dyDescent="0.3">
      <c r="A20" s="50"/>
      <c r="B20" s="13" t="s">
        <v>32</v>
      </c>
      <c r="C20" s="12" t="s">
        <v>31</v>
      </c>
      <c r="D20" s="12" t="s">
        <v>24</v>
      </c>
      <c r="E20" s="13" t="s">
        <v>171</v>
      </c>
      <c r="F20" s="22" t="s">
        <v>4</v>
      </c>
      <c r="G20" s="13" t="s">
        <v>0</v>
      </c>
      <c r="H20" s="12" t="s">
        <v>181</v>
      </c>
      <c r="I20" s="11">
        <v>2000</v>
      </c>
      <c r="J20" s="10"/>
      <c r="K20" s="9">
        <v>2000</v>
      </c>
      <c r="L20" s="8">
        <f t="shared" si="0"/>
        <v>0</v>
      </c>
    </row>
    <row r="21" spans="1:12" ht="169.5" customHeight="1" thickBot="1" x14ac:dyDescent="0.3">
      <c r="A21" s="50"/>
      <c r="B21" s="24" t="s">
        <v>28</v>
      </c>
      <c r="C21" s="12" t="s">
        <v>155</v>
      </c>
      <c r="D21" s="12" t="s">
        <v>24</v>
      </c>
      <c r="E21" s="13" t="s">
        <v>156</v>
      </c>
      <c r="F21" s="22" t="s">
        <v>4</v>
      </c>
      <c r="G21" s="13" t="s">
        <v>0</v>
      </c>
      <c r="H21" s="12" t="s">
        <v>132</v>
      </c>
      <c r="I21" s="11">
        <v>1870</v>
      </c>
      <c r="J21" s="10">
        <v>1000</v>
      </c>
      <c r="K21" s="9">
        <v>870</v>
      </c>
      <c r="L21" s="8">
        <f t="shared" si="0"/>
        <v>0</v>
      </c>
    </row>
    <row r="22" spans="1:12" ht="169.5" customHeight="1" thickBot="1" x14ac:dyDescent="0.3">
      <c r="A22" s="50"/>
      <c r="B22" s="24" t="s">
        <v>28</v>
      </c>
      <c r="C22" s="12" t="s">
        <v>155</v>
      </c>
      <c r="D22" s="12" t="s">
        <v>24</v>
      </c>
      <c r="E22" s="13" t="s">
        <v>156</v>
      </c>
      <c r="F22" s="22" t="s">
        <v>4</v>
      </c>
      <c r="G22" s="13" t="s">
        <v>0</v>
      </c>
      <c r="H22" s="12" t="s">
        <v>181</v>
      </c>
      <c r="I22" s="11">
        <v>1880</v>
      </c>
      <c r="J22" s="10"/>
      <c r="K22" s="9">
        <v>1880</v>
      </c>
      <c r="L22" s="8">
        <f t="shared" si="0"/>
        <v>0</v>
      </c>
    </row>
    <row r="23" spans="1:12" ht="169.5" customHeight="1" thickBot="1" x14ac:dyDescent="0.3">
      <c r="A23" s="50" t="s">
        <v>36</v>
      </c>
      <c r="B23" s="24" t="s">
        <v>35</v>
      </c>
      <c r="C23" s="12" t="s">
        <v>155</v>
      </c>
      <c r="D23" s="12" t="s">
        <v>24</v>
      </c>
      <c r="E23" s="13" t="s">
        <v>156</v>
      </c>
      <c r="F23" s="22" t="s">
        <v>4</v>
      </c>
      <c r="G23" s="13" t="s">
        <v>0</v>
      </c>
      <c r="H23" s="12" t="s">
        <v>132</v>
      </c>
      <c r="I23" s="11">
        <v>1000</v>
      </c>
      <c r="J23" s="10">
        <v>1000</v>
      </c>
      <c r="K23" s="9"/>
      <c r="L23" s="8">
        <f t="shared" si="0"/>
        <v>0</v>
      </c>
    </row>
    <row r="24" spans="1:12" ht="169.5" customHeight="1" thickBot="1" x14ac:dyDescent="0.3">
      <c r="A24" s="50"/>
      <c r="B24" s="24" t="s">
        <v>35</v>
      </c>
      <c r="C24" s="12" t="s">
        <v>155</v>
      </c>
      <c r="D24" s="12" t="s">
        <v>24</v>
      </c>
      <c r="E24" s="13" t="s">
        <v>156</v>
      </c>
      <c r="F24" s="22" t="s">
        <v>4</v>
      </c>
      <c r="G24" s="13" t="s">
        <v>0</v>
      </c>
      <c r="H24" s="12" t="s">
        <v>181</v>
      </c>
      <c r="I24" s="11">
        <v>1880</v>
      </c>
      <c r="J24" s="10"/>
      <c r="K24" s="9">
        <v>1880</v>
      </c>
      <c r="L24" s="8">
        <f t="shared" si="0"/>
        <v>0</v>
      </c>
    </row>
    <row r="25" spans="1:12" ht="169.5" customHeight="1" thickBot="1" x14ac:dyDescent="0.3">
      <c r="A25" s="50"/>
      <c r="B25" s="24" t="s">
        <v>35</v>
      </c>
      <c r="C25" s="12" t="s">
        <v>34</v>
      </c>
      <c r="D25" s="12" t="s">
        <v>24</v>
      </c>
      <c r="E25" s="13" t="s">
        <v>33</v>
      </c>
      <c r="F25" s="22" t="s">
        <v>4</v>
      </c>
      <c r="G25" s="13" t="s">
        <v>0</v>
      </c>
      <c r="H25" s="12" t="s">
        <v>181</v>
      </c>
      <c r="I25" s="11">
        <v>2060</v>
      </c>
      <c r="J25" s="10"/>
      <c r="K25" s="9">
        <v>2060</v>
      </c>
      <c r="L25" s="8">
        <f t="shared" si="0"/>
        <v>0</v>
      </c>
    </row>
    <row r="26" spans="1:12" ht="169.5" customHeight="1" thickBot="1" x14ac:dyDescent="0.3">
      <c r="A26" s="50"/>
      <c r="B26" s="24" t="s">
        <v>61</v>
      </c>
      <c r="C26" s="12" t="s">
        <v>31</v>
      </c>
      <c r="D26" s="12" t="s">
        <v>24</v>
      </c>
      <c r="E26" s="13" t="s">
        <v>70</v>
      </c>
      <c r="F26" s="22" t="s">
        <v>4</v>
      </c>
      <c r="G26" s="13" t="s">
        <v>0</v>
      </c>
      <c r="H26" s="12" t="s">
        <v>132</v>
      </c>
      <c r="I26" s="11">
        <v>2270</v>
      </c>
      <c r="J26" s="10"/>
      <c r="K26" s="9">
        <v>2270</v>
      </c>
      <c r="L26" s="8">
        <f t="shared" si="0"/>
        <v>0</v>
      </c>
    </row>
    <row r="27" spans="1:12" ht="169.5" customHeight="1" thickBot="1" x14ac:dyDescent="0.3">
      <c r="A27" s="50"/>
      <c r="B27" s="24" t="s">
        <v>61</v>
      </c>
      <c r="C27" s="12" t="s">
        <v>31</v>
      </c>
      <c r="D27" s="12" t="s">
        <v>24</v>
      </c>
      <c r="E27" s="13" t="s">
        <v>171</v>
      </c>
      <c r="F27" s="22" t="s">
        <v>4</v>
      </c>
      <c r="G27" s="13" t="s">
        <v>8</v>
      </c>
      <c r="H27" s="12" t="s">
        <v>132</v>
      </c>
      <c r="I27" s="11">
        <v>100</v>
      </c>
      <c r="J27" s="10"/>
      <c r="K27" s="9">
        <v>100</v>
      </c>
      <c r="L27" s="8">
        <f t="shared" si="0"/>
        <v>0</v>
      </c>
    </row>
    <row r="28" spans="1:12" ht="169.5" customHeight="1" thickBot="1" x14ac:dyDescent="0.3">
      <c r="A28" s="50"/>
      <c r="B28" s="24" t="s">
        <v>32</v>
      </c>
      <c r="C28" s="12" t="s">
        <v>31</v>
      </c>
      <c r="D28" s="12" t="s">
        <v>24</v>
      </c>
      <c r="E28" s="13" t="s">
        <v>171</v>
      </c>
      <c r="F28" s="22" t="s">
        <v>4</v>
      </c>
      <c r="G28" s="13" t="s">
        <v>0</v>
      </c>
      <c r="H28" s="12" t="s">
        <v>181</v>
      </c>
      <c r="I28" s="11">
        <v>2000</v>
      </c>
      <c r="J28" s="10"/>
      <c r="K28" s="9">
        <v>2000</v>
      </c>
      <c r="L28" s="8">
        <f t="shared" si="0"/>
        <v>0</v>
      </c>
    </row>
    <row r="29" spans="1:12" ht="169.5" customHeight="1" thickBot="1" x14ac:dyDescent="0.3">
      <c r="A29" s="50"/>
      <c r="B29" s="24" t="s">
        <v>29</v>
      </c>
      <c r="C29" s="12" t="s">
        <v>31</v>
      </c>
      <c r="D29" s="12" t="s">
        <v>24</v>
      </c>
      <c r="E29" s="13" t="s">
        <v>70</v>
      </c>
      <c r="F29" s="22" t="s">
        <v>4</v>
      </c>
      <c r="G29" s="13" t="s">
        <v>0</v>
      </c>
      <c r="H29" s="12" t="s">
        <v>181</v>
      </c>
      <c r="I29" s="11">
        <v>1500</v>
      </c>
      <c r="J29" s="10"/>
      <c r="K29" s="9">
        <v>1500</v>
      </c>
      <c r="L29" s="8">
        <f t="shared" si="0"/>
        <v>0</v>
      </c>
    </row>
    <row r="30" spans="1:12" ht="169.5" customHeight="1" thickBot="1" x14ac:dyDescent="0.3">
      <c r="A30" s="50"/>
      <c r="B30" s="24" t="s">
        <v>40</v>
      </c>
      <c r="C30" s="12" t="s">
        <v>15</v>
      </c>
      <c r="D30" s="12" t="s">
        <v>24</v>
      </c>
      <c r="E30" s="13" t="s">
        <v>96</v>
      </c>
      <c r="F30" s="22" t="s">
        <v>4</v>
      </c>
      <c r="G30" s="13" t="s">
        <v>0</v>
      </c>
      <c r="H30" s="12" t="s">
        <v>181</v>
      </c>
      <c r="I30" s="11">
        <v>1500</v>
      </c>
      <c r="J30" s="10"/>
      <c r="K30" s="9">
        <v>1500</v>
      </c>
      <c r="L30" s="8">
        <f t="shared" si="0"/>
        <v>0</v>
      </c>
    </row>
    <row r="31" spans="1:12" ht="169.5" customHeight="1" thickBot="1" x14ac:dyDescent="0.3">
      <c r="A31" s="50"/>
      <c r="B31" s="24" t="s">
        <v>112</v>
      </c>
      <c r="C31" s="12" t="s">
        <v>113</v>
      </c>
      <c r="D31" s="12" t="s">
        <v>24</v>
      </c>
      <c r="E31" s="13" t="s">
        <v>114</v>
      </c>
      <c r="F31" s="22" t="s">
        <v>4</v>
      </c>
      <c r="G31" s="13" t="s">
        <v>0</v>
      </c>
      <c r="H31" s="12" t="s">
        <v>132</v>
      </c>
      <c r="I31" s="11">
        <v>900</v>
      </c>
      <c r="J31" s="10"/>
      <c r="K31" s="9">
        <v>900</v>
      </c>
      <c r="L31" s="8">
        <f t="shared" si="0"/>
        <v>0</v>
      </c>
    </row>
    <row r="32" spans="1:12" ht="169.5" customHeight="1" thickBot="1" x14ac:dyDescent="0.3">
      <c r="A32" s="50"/>
      <c r="B32" s="24" t="s">
        <v>61</v>
      </c>
      <c r="C32" s="12" t="s">
        <v>31</v>
      </c>
      <c r="D32" s="12" t="s">
        <v>24</v>
      </c>
      <c r="E32" s="13" t="s">
        <v>154</v>
      </c>
      <c r="F32" s="25" t="s">
        <v>4</v>
      </c>
      <c r="G32" s="13" t="s">
        <v>8</v>
      </c>
      <c r="H32" s="12" t="s">
        <v>132</v>
      </c>
      <c r="I32" s="11">
        <v>60</v>
      </c>
      <c r="J32" s="10"/>
      <c r="K32" s="9">
        <v>60</v>
      </c>
      <c r="L32" s="8">
        <f t="shared" si="0"/>
        <v>0</v>
      </c>
    </row>
    <row r="33" spans="1:12" ht="169.5" customHeight="1" thickBot="1" x14ac:dyDescent="0.3">
      <c r="A33" s="50"/>
      <c r="B33" s="24" t="s">
        <v>32</v>
      </c>
      <c r="C33" s="12" t="s">
        <v>31</v>
      </c>
      <c r="D33" s="12" t="s">
        <v>24</v>
      </c>
      <c r="E33" s="13" t="s">
        <v>70</v>
      </c>
      <c r="F33" s="22" t="s">
        <v>4</v>
      </c>
      <c r="G33" s="13" t="s">
        <v>0</v>
      </c>
      <c r="H33" s="12" t="s">
        <v>132</v>
      </c>
      <c r="I33" s="11">
        <v>1820</v>
      </c>
      <c r="J33" s="10"/>
      <c r="K33" s="9">
        <v>1820</v>
      </c>
      <c r="L33" s="8">
        <f t="shared" si="0"/>
        <v>0</v>
      </c>
    </row>
    <row r="34" spans="1:12" ht="169.5" customHeight="1" thickBot="1" x14ac:dyDescent="0.3">
      <c r="A34" s="50"/>
      <c r="B34" s="24" t="s">
        <v>29</v>
      </c>
      <c r="C34" s="12" t="s">
        <v>31</v>
      </c>
      <c r="D34" s="12" t="s">
        <v>24</v>
      </c>
      <c r="E34" s="13" t="s">
        <v>171</v>
      </c>
      <c r="F34" s="22" t="s">
        <v>4</v>
      </c>
      <c r="G34" s="13" t="s">
        <v>0</v>
      </c>
      <c r="H34" s="12" t="s">
        <v>181</v>
      </c>
      <c r="I34" s="11">
        <v>2000</v>
      </c>
      <c r="J34" s="10"/>
      <c r="K34" s="9">
        <v>2000</v>
      </c>
      <c r="L34" s="8">
        <f t="shared" si="0"/>
        <v>0</v>
      </c>
    </row>
    <row r="35" spans="1:12" ht="169.5" customHeight="1" thickBot="1" x14ac:dyDescent="0.3">
      <c r="A35" s="50"/>
      <c r="B35" s="24" t="s">
        <v>40</v>
      </c>
      <c r="C35" s="12" t="s">
        <v>27</v>
      </c>
      <c r="D35" s="12" t="s">
        <v>24</v>
      </c>
      <c r="E35" s="13" t="s">
        <v>76</v>
      </c>
      <c r="F35" s="22" t="s">
        <v>4</v>
      </c>
      <c r="G35" s="13" t="s">
        <v>8</v>
      </c>
      <c r="H35" s="12" t="s">
        <v>187</v>
      </c>
      <c r="I35" s="11">
        <v>50</v>
      </c>
      <c r="J35" s="10"/>
      <c r="K35" s="9">
        <v>50</v>
      </c>
      <c r="L35" s="8">
        <f t="shared" si="0"/>
        <v>0</v>
      </c>
    </row>
    <row r="36" spans="1:12" ht="169.5" customHeight="1" thickBot="1" x14ac:dyDescent="0.3">
      <c r="A36" s="50"/>
      <c r="B36" s="24" t="s">
        <v>40</v>
      </c>
      <c r="C36" s="12" t="s">
        <v>15</v>
      </c>
      <c r="D36" s="12" t="s">
        <v>24</v>
      </c>
      <c r="E36" s="13" t="s">
        <v>96</v>
      </c>
      <c r="F36" s="22" t="s">
        <v>4</v>
      </c>
      <c r="G36" s="13" t="s">
        <v>0</v>
      </c>
      <c r="H36" s="12" t="s">
        <v>181</v>
      </c>
      <c r="I36" s="11">
        <v>1554</v>
      </c>
      <c r="J36" s="10">
        <v>1000</v>
      </c>
      <c r="K36" s="9">
        <v>554</v>
      </c>
      <c r="L36" s="8">
        <f t="shared" si="0"/>
        <v>0</v>
      </c>
    </row>
    <row r="37" spans="1:12" ht="169.5" customHeight="1" thickBot="1" x14ac:dyDescent="0.3">
      <c r="A37" s="50"/>
      <c r="B37" s="24" t="s">
        <v>77</v>
      </c>
      <c r="C37" s="12" t="s">
        <v>27</v>
      </c>
      <c r="D37" s="12" t="s">
        <v>24</v>
      </c>
      <c r="E37" s="13" t="s">
        <v>76</v>
      </c>
      <c r="F37" s="22" t="s">
        <v>4</v>
      </c>
      <c r="G37" s="13" t="s">
        <v>0</v>
      </c>
      <c r="H37" s="12" t="s">
        <v>181</v>
      </c>
      <c r="I37" s="11">
        <v>1746</v>
      </c>
      <c r="J37" s="10"/>
      <c r="K37" s="9">
        <v>1746</v>
      </c>
      <c r="L37" s="8">
        <f t="shared" si="0"/>
        <v>0</v>
      </c>
    </row>
    <row r="38" spans="1:12" ht="169.5" customHeight="1" thickBot="1" x14ac:dyDescent="0.3">
      <c r="A38" s="50"/>
      <c r="B38" s="24" t="s">
        <v>157</v>
      </c>
      <c r="C38" s="12" t="s">
        <v>26</v>
      </c>
      <c r="D38" s="12" t="s">
        <v>24</v>
      </c>
      <c r="E38" s="13" t="s">
        <v>25</v>
      </c>
      <c r="F38" s="22" t="s">
        <v>4</v>
      </c>
      <c r="G38" s="13" t="s">
        <v>0</v>
      </c>
      <c r="H38" s="12" t="s">
        <v>181</v>
      </c>
      <c r="I38" s="11">
        <v>1000</v>
      </c>
      <c r="J38" s="10">
        <v>1000</v>
      </c>
      <c r="K38" s="9"/>
      <c r="L38" s="8">
        <f t="shared" si="0"/>
        <v>0</v>
      </c>
    </row>
    <row r="39" spans="1:12" ht="169.5" customHeight="1" thickBot="1" x14ac:dyDescent="0.3">
      <c r="A39" s="50"/>
      <c r="B39" s="24" t="s">
        <v>112</v>
      </c>
      <c r="C39" s="12" t="s">
        <v>113</v>
      </c>
      <c r="D39" s="12" t="s">
        <v>24</v>
      </c>
      <c r="E39" s="13" t="s">
        <v>115</v>
      </c>
      <c r="F39" s="22" t="s">
        <v>9</v>
      </c>
      <c r="G39" s="13" t="s">
        <v>0</v>
      </c>
      <c r="H39" s="12" t="s">
        <v>132</v>
      </c>
      <c r="I39" s="11">
        <v>1500</v>
      </c>
      <c r="J39" s="10">
        <v>1000</v>
      </c>
      <c r="K39" s="9">
        <v>500</v>
      </c>
      <c r="L39" s="8">
        <f t="shared" si="0"/>
        <v>0</v>
      </c>
    </row>
    <row r="40" spans="1:12" ht="169.5" customHeight="1" thickBot="1" x14ac:dyDescent="0.3">
      <c r="A40" s="50" t="s">
        <v>23</v>
      </c>
      <c r="B40" s="24" t="s">
        <v>12</v>
      </c>
      <c r="C40" s="12" t="s">
        <v>6</v>
      </c>
      <c r="D40" s="12" t="s">
        <v>20</v>
      </c>
      <c r="E40" s="13" t="s">
        <v>22</v>
      </c>
      <c r="F40" s="22" t="s">
        <v>4</v>
      </c>
      <c r="G40" s="13" t="s">
        <v>0</v>
      </c>
      <c r="H40" s="12" t="s">
        <v>181</v>
      </c>
      <c r="I40" s="11">
        <v>3368</v>
      </c>
      <c r="J40" s="10">
        <v>1000</v>
      </c>
      <c r="K40" s="9">
        <v>2368</v>
      </c>
      <c r="L40" s="8">
        <f t="shared" si="0"/>
        <v>0</v>
      </c>
    </row>
    <row r="41" spans="1:12" ht="169.5" customHeight="1" thickBot="1" x14ac:dyDescent="0.3">
      <c r="A41" s="50"/>
      <c r="B41" s="24" t="s">
        <v>21</v>
      </c>
      <c r="C41" s="12" t="s">
        <v>3</v>
      </c>
      <c r="D41" s="12" t="s">
        <v>20</v>
      </c>
      <c r="E41" s="13" t="s">
        <v>56</v>
      </c>
      <c r="F41" s="22" t="s">
        <v>9</v>
      </c>
      <c r="G41" s="13" t="s">
        <v>0</v>
      </c>
      <c r="H41" s="12" t="s">
        <v>181</v>
      </c>
      <c r="I41" s="11">
        <v>3000</v>
      </c>
      <c r="J41" s="10">
        <v>1000</v>
      </c>
      <c r="K41" s="9">
        <v>2000</v>
      </c>
      <c r="L41" s="8">
        <f t="shared" si="0"/>
        <v>0</v>
      </c>
    </row>
    <row r="42" spans="1:12" ht="169.5" customHeight="1" thickBot="1" x14ac:dyDescent="0.3">
      <c r="A42" s="50"/>
      <c r="B42" s="24" t="s">
        <v>21</v>
      </c>
      <c r="C42" s="12" t="s">
        <v>3</v>
      </c>
      <c r="D42" s="12" t="s">
        <v>20</v>
      </c>
      <c r="E42" s="13" t="s">
        <v>57</v>
      </c>
      <c r="F42" s="22" t="s">
        <v>9</v>
      </c>
      <c r="G42" s="13" t="s">
        <v>0</v>
      </c>
      <c r="H42" s="12" t="s">
        <v>181</v>
      </c>
      <c r="I42" s="11">
        <v>3000</v>
      </c>
      <c r="J42" s="10"/>
      <c r="K42" s="9">
        <v>3000</v>
      </c>
      <c r="L42" s="8">
        <f t="shared" si="0"/>
        <v>0</v>
      </c>
    </row>
    <row r="43" spans="1:12" ht="169.5" customHeight="1" thickBot="1" x14ac:dyDescent="0.3">
      <c r="A43" s="50" t="s">
        <v>54</v>
      </c>
      <c r="B43" s="24" t="s">
        <v>104</v>
      </c>
      <c r="C43" s="12" t="s">
        <v>188</v>
      </c>
      <c r="D43" s="12" t="s">
        <v>60</v>
      </c>
      <c r="E43" s="13" t="s">
        <v>189</v>
      </c>
      <c r="F43" s="22" t="s">
        <v>64</v>
      </c>
      <c r="G43" s="13" t="s">
        <v>37</v>
      </c>
      <c r="H43" s="12" t="s">
        <v>181</v>
      </c>
      <c r="I43" s="11">
        <v>242</v>
      </c>
      <c r="J43" s="10"/>
      <c r="K43" s="9">
        <v>242</v>
      </c>
      <c r="L43" s="8">
        <f t="shared" si="0"/>
        <v>0</v>
      </c>
    </row>
    <row r="44" spans="1:12" ht="169.5" customHeight="1" thickBot="1" x14ac:dyDescent="0.3">
      <c r="A44" s="50"/>
      <c r="B44" s="24" t="s">
        <v>104</v>
      </c>
      <c r="C44" s="12" t="s">
        <v>188</v>
      </c>
      <c r="D44" s="12" t="s">
        <v>60</v>
      </c>
      <c r="E44" s="13" t="s">
        <v>190</v>
      </c>
      <c r="F44" s="22" t="s">
        <v>64</v>
      </c>
      <c r="G44" s="13" t="s">
        <v>37</v>
      </c>
      <c r="H44" s="12" t="s">
        <v>181</v>
      </c>
      <c r="I44" s="11">
        <v>229</v>
      </c>
      <c r="J44" s="10"/>
      <c r="K44" s="9">
        <v>229</v>
      </c>
      <c r="L44" s="8">
        <f t="shared" si="0"/>
        <v>0</v>
      </c>
    </row>
    <row r="45" spans="1:12" ht="169.5" customHeight="1" thickBot="1" x14ac:dyDescent="0.3">
      <c r="A45" s="50"/>
      <c r="B45" s="24" t="s">
        <v>104</v>
      </c>
      <c r="C45" s="12" t="s">
        <v>188</v>
      </c>
      <c r="D45" s="12" t="s">
        <v>60</v>
      </c>
      <c r="E45" s="13" t="s">
        <v>191</v>
      </c>
      <c r="F45" s="22" t="s">
        <v>64</v>
      </c>
      <c r="G45" s="13" t="s">
        <v>37</v>
      </c>
      <c r="H45" s="12" t="s">
        <v>181</v>
      </c>
      <c r="I45" s="11">
        <v>108</v>
      </c>
      <c r="J45" s="10"/>
      <c r="K45" s="9">
        <v>108</v>
      </c>
      <c r="L45" s="8">
        <f t="shared" si="0"/>
        <v>0</v>
      </c>
    </row>
    <row r="46" spans="1:12" ht="169.5" customHeight="1" thickBot="1" x14ac:dyDescent="0.3">
      <c r="A46" s="50"/>
      <c r="B46" s="24" t="s">
        <v>104</v>
      </c>
      <c r="C46" s="12" t="s">
        <v>31</v>
      </c>
      <c r="D46" s="12" t="s">
        <v>60</v>
      </c>
      <c r="E46" s="13" t="s">
        <v>192</v>
      </c>
      <c r="F46" s="22" t="s">
        <v>64</v>
      </c>
      <c r="G46" s="13" t="s">
        <v>37</v>
      </c>
      <c r="H46" s="12" t="s">
        <v>181</v>
      </c>
      <c r="I46" s="11">
        <v>544</v>
      </c>
      <c r="J46" s="10">
        <v>544</v>
      </c>
      <c r="K46" s="9"/>
      <c r="L46" s="8">
        <f t="shared" si="0"/>
        <v>0</v>
      </c>
    </row>
    <row r="47" spans="1:12" ht="169.5" customHeight="1" thickBot="1" x14ac:dyDescent="0.3">
      <c r="A47" s="50"/>
      <c r="B47" s="24" t="s">
        <v>104</v>
      </c>
      <c r="C47" s="12" t="s">
        <v>31</v>
      </c>
      <c r="D47" s="12" t="s">
        <v>60</v>
      </c>
      <c r="E47" s="13" t="s">
        <v>193</v>
      </c>
      <c r="F47" s="22" t="s">
        <v>64</v>
      </c>
      <c r="G47" s="13" t="s">
        <v>37</v>
      </c>
      <c r="H47" s="12" t="s">
        <v>181</v>
      </c>
      <c r="I47" s="11">
        <v>167</v>
      </c>
      <c r="J47" s="10"/>
      <c r="K47" s="9">
        <v>167</v>
      </c>
      <c r="L47" s="8">
        <f t="shared" si="0"/>
        <v>0</v>
      </c>
    </row>
    <row r="48" spans="1:12" ht="169.5" customHeight="1" thickBot="1" x14ac:dyDescent="0.3">
      <c r="A48" s="50" t="s">
        <v>19</v>
      </c>
      <c r="B48" s="24" t="s">
        <v>7</v>
      </c>
      <c r="C48" s="12" t="s">
        <v>15</v>
      </c>
      <c r="D48" s="12" t="s">
        <v>14</v>
      </c>
      <c r="E48" s="13" t="s">
        <v>13</v>
      </c>
      <c r="F48" s="22" t="s">
        <v>4</v>
      </c>
      <c r="G48" s="13" t="s">
        <v>8</v>
      </c>
      <c r="H48" s="12" t="s">
        <v>181</v>
      </c>
      <c r="I48" s="11">
        <v>100</v>
      </c>
      <c r="J48" s="10"/>
      <c r="K48" s="9">
        <v>100</v>
      </c>
      <c r="L48" s="8">
        <f t="shared" si="0"/>
        <v>0</v>
      </c>
    </row>
    <row r="49" spans="1:12" ht="169.5" customHeight="1" thickBot="1" x14ac:dyDescent="0.3">
      <c r="A49" s="50"/>
      <c r="B49" s="24" t="s">
        <v>7</v>
      </c>
      <c r="C49" s="12" t="s">
        <v>15</v>
      </c>
      <c r="D49" s="12" t="s">
        <v>14</v>
      </c>
      <c r="E49" s="13" t="s">
        <v>13</v>
      </c>
      <c r="F49" s="22" t="s">
        <v>4</v>
      </c>
      <c r="G49" s="13" t="s">
        <v>0</v>
      </c>
      <c r="H49" s="12" t="s">
        <v>181</v>
      </c>
      <c r="I49" s="11">
        <v>5070</v>
      </c>
      <c r="J49" s="10">
        <v>1000</v>
      </c>
      <c r="K49" s="9">
        <v>4070</v>
      </c>
      <c r="L49" s="8">
        <f t="shared" si="0"/>
        <v>0</v>
      </c>
    </row>
    <row r="50" spans="1:12" ht="169.5" customHeight="1" thickBot="1" x14ac:dyDescent="0.3">
      <c r="A50" s="50"/>
      <c r="B50" s="24" t="s">
        <v>7</v>
      </c>
      <c r="C50" s="12" t="s">
        <v>15</v>
      </c>
      <c r="D50" s="12" t="s">
        <v>14</v>
      </c>
      <c r="E50" s="13" t="s">
        <v>13</v>
      </c>
      <c r="F50" s="22" t="s">
        <v>4</v>
      </c>
      <c r="G50" s="13" t="s">
        <v>0</v>
      </c>
      <c r="H50" s="12" t="s">
        <v>181</v>
      </c>
      <c r="I50" s="11">
        <v>2000</v>
      </c>
      <c r="J50" s="10"/>
      <c r="K50" s="9"/>
      <c r="L50" s="8">
        <f t="shared" si="0"/>
        <v>-2000</v>
      </c>
    </row>
    <row r="51" spans="1:12" ht="169.5" customHeight="1" thickBot="1" x14ac:dyDescent="0.3">
      <c r="A51" s="50"/>
      <c r="B51" s="24" t="s">
        <v>12</v>
      </c>
      <c r="C51" s="12" t="s">
        <v>3</v>
      </c>
      <c r="D51" s="12" t="s">
        <v>11</v>
      </c>
      <c r="E51" s="13" t="s">
        <v>10</v>
      </c>
      <c r="F51" s="22" t="s">
        <v>4</v>
      </c>
      <c r="G51" s="13" t="s">
        <v>0</v>
      </c>
      <c r="H51" s="12" t="s">
        <v>181</v>
      </c>
      <c r="I51" s="11">
        <v>2000</v>
      </c>
      <c r="J51" s="10"/>
      <c r="K51" s="9">
        <v>2000</v>
      </c>
      <c r="L51" s="8">
        <f t="shared" si="0"/>
        <v>0</v>
      </c>
    </row>
    <row r="52" spans="1:12" ht="169.5" customHeight="1" thickBot="1" x14ac:dyDescent="0.3">
      <c r="A52" s="50"/>
      <c r="B52" s="24" t="s">
        <v>12</v>
      </c>
      <c r="C52" s="12" t="s">
        <v>3</v>
      </c>
      <c r="D52" s="12" t="s">
        <v>11</v>
      </c>
      <c r="E52" s="13" t="s">
        <v>10</v>
      </c>
      <c r="F52" s="22" t="s">
        <v>4</v>
      </c>
      <c r="G52" s="13" t="s">
        <v>0</v>
      </c>
      <c r="H52" s="12" t="s">
        <v>181</v>
      </c>
      <c r="I52" s="11">
        <v>4000</v>
      </c>
      <c r="J52" s="10">
        <v>2000</v>
      </c>
      <c r="K52" s="9">
        <v>2000</v>
      </c>
      <c r="L52" s="8">
        <f t="shared" si="0"/>
        <v>0</v>
      </c>
    </row>
    <row r="53" spans="1:12" ht="169.5" customHeight="1" thickBot="1" x14ac:dyDescent="0.3">
      <c r="A53" s="50"/>
      <c r="B53" s="24" t="s">
        <v>7</v>
      </c>
      <c r="C53" s="12" t="s">
        <v>6</v>
      </c>
      <c r="D53" s="12" t="s">
        <v>1</v>
      </c>
      <c r="E53" s="13" t="s">
        <v>5</v>
      </c>
      <c r="F53" s="22" t="s">
        <v>4</v>
      </c>
      <c r="G53" s="13" t="s">
        <v>0</v>
      </c>
      <c r="H53" s="12" t="s">
        <v>181</v>
      </c>
      <c r="I53" s="11">
        <v>5301</v>
      </c>
      <c r="J53" s="10"/>
      <c r="K53" s="9">
        <v>5301</v>
      </c>
      <c r="L53" s="8">
        <f t="shared" si="0"/>
        <v>0</v>
      </c>
    </row>
    <row r="54" spans="1:12" ht="169.5" customHeight="1" thickBot="1" x14ac:dyDescent="0.3">
      <c r="A54" s="50"/>
      <c r="B54" s="24" t="s">
        <v>194</v>
      </c>
      <c r="C54" s="12" t="s">
        <v>3</v>
      </c>
      <c r="D54" s="12" t="s">
        <v>1</v>
      </c>
      <c r="E54" s="13" t="s">
        <v>195</v>
      </c>
      <c r="F54" s="22" t="s">
        <v>122</v>
      </c>
      <c r="G54" s="13" t="s">
        <v>8</v>
      </c>
      <c r="H54" s="12" t="s">
        <v>181</v>
      </c>
      <c r="I54" s="11">
        <v>3000</v>
      </c>
      <c r="J54" s="10">
        <v>1000</v>
      </c>
      <c r="K54" s="9">
        <v>2000</v>
      </c>
      <c r="L54" s="8">
        <f t="shared" si="0"/>
        <v>0</v>
      </c>
    </row>
    <row r="111" spans="1:11" s="2" customFormat="1" x14ac:dyDescent="0.25">
      <c r="A111" s="7"/>
      <c r="B111" s="5"/>
      <c r="C111" s="7"/>
      <c r="D111" s="6"/>
      <c r="E111" s="5"/>
      <c r="F111" s="6"/>
      <c r="G111" s="5"/>
      <c r="H111" s="5"/>
      <c r="I111" s="5"/>
      <c r="J111" s="4"/>
      <c r="K111" s="3" t="s">
        <v>148</v>
      </c>
    </row>
  </sheetData>
  <autoFilter ref="A2:L54"/>
  <dataConsolidate/>
  <mergeCells count="6">
    <mergeCell ref="A48:A54"/>
    <mergeCell ref="A1:L1"/>
    <mergeCell ref="A3:A22"/>
    <mergeCell ref="A23:A39"/>
    <mergeCell ref="A40:A42"/>
    <mergeCell ref="A43:A47"/>
  </mergeCells>
  <conditionalFormatting sqref="L52:L54 I2:I51 K3:L51">
    <cfRule type="cellIs" dxfId="161" priority="3" operator="lessThan">
      <formula>0</formula>
    </cfRule>
  </conditionalFormatting>
  <conditionalFormatting sqref="L2">
    <cfRule type="cellIs" dxfId="160" priority="2" operator="lessThan">
      <formula>0</formula>
    </cfRule>
  </conditionalFormatting>
  <conditionalFormatting sqref="I52:I54 K52:K54">
    <cfRule type="cellIs" dxfId="159" priority="1" operator="lessThan">
      <formula>0</formula>
    </cfRule>
  </conditionalFormatting>
  <printOptions horizontalCentered="1"/>
  <pageMargins left="0" right="0" top="0" bottom="0" header="0" footer="0"/>
  <pageSetup paperSize="9" scale="10" fitToHeight="0" orientation="portrait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11"/>
  <sheetViews>
    <sheetView showGridLines="0" view="pageBreakPreview" topLeftCell="A38" zoomScale="20" zoomScaleNormal="27" zoomScaleSheetLayoutView="20" workbookViewId="0">
      <selection activeCell="I3" sqref="I3:I54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196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9.5" customHeight="1" thickBot="1" x14ac:dyDescent="0.3">
      <c r="A3" s="46" t="s">
        <v>41</v>
      </c>
      <c r="B3" s="13" t="s">
        <v>157</v>
      </c>
      <c r="C3" s="12" t="s">
        <v>26</v>
      </c>
      <c r="D3" s="12" t="s">
        <v>24</v>
      </c>
      <c r="E3" s="13" t="s">
        <v>25</v>
      </c>
      <c r="F3" s="22" t="s">
        <v>4</v>
      </c>
      <c r="G3" s="13" t="s">
        <v>0</v>
      </c>
      <c r="H3" s="12" t="s">
        <v>181</v>
      </c>
      <c r="I3" s="11">
        <v>1756</v>
      </c>
      <c r="J3" s="10">
        <v>1000</v>
      </c>
      <c r="K3" s="9">
        <v>756</v>
      </c>
      <c r="L3" s="8">
        <f t="shared" ref="L3:L54" si="0">K3+J3-I3</f>
        <v>0</v>
      </c>
    </row>
    <row r="4" spans="1:12" ht="169.5" customHeight="1" thickBot="1" x14ac:dyDescent="0.3">
      <c r="A4" s="47"/>
      <c r="B4" s="13" t="s">
        <v>28</v>
      </c>
      <c r="C4" s="12" t="s">
        <v>34</v>
      </c>
      <c r="D4" s="12" t="s">
        <v>24</v>
      </c>
      <c r="E4" s="23" t="s">
        <v>33</v>
      </c>
      <c r="F4" s="22" t="s">
        <v>4</v>
      </c>
      <c r="G4" s="13" t="s">
        <v>0</v>
      </c>
      <c r="H4" s="12" t="s">
        <v>181</v>
      </c>
      <c r="I4" s="11">
        <v>1000</v>
      </c>
      <c r="J4" s="10"/>
      <c r="K4" s="9">
        <v>1000</v>
      </c>
      <c r="L4" s="8">
        <f t="shared" si="0"/>
        <v>0</v>
      </c>
    </row>
    <row r="5" spans="1:12" ht="169.5" customHeight="1" thickBot="1" x14ac:dyDescent="0.3">
      <c r="A5" s="47"/>
      <c r="B5" s="13" t="s">
        <v>32</v>
      </c>
      <c r="C5" s="12" t="s">
        <v>31</v>
      </c>
      <c r="D5" s="12" t="s">
        <v>24</v>
      </c>
      <c r="E5" s="23" t="s">
        <v>78</v>
      </c>
      <c r="F5" s="22" t="s">
        <v>4</v>
      </c>
      <c r="G5" s="13" t="s">
        <v>0</v>
      </c>
      <c r="H5" s="12" t="s">
        <v>187</v>
      </c>
      <c r="I5" s="11">
        <v>1000</v>
      </c>
      <c r="J5" s="10"/>
      <c r="K5" s="9">
        <v>1000</v>
      </c>
      <c r="L5" s="8">
        <f t="shared" si="0"/>
        <v>0</v>
      </c>
    </row>
    <row r="6" spans="1:12" ht="169.5" customHeight="1" thickBot="1" x14ac:dyDescent="0.3">
      <c r="A6" s="47"/>
      <c r="B6" s="13" t="s">
        <v>28</v>
      </c>
      <c r="C6" s="12" t="s">
        <v>34</v>
      </c>
      <c r="D6" s="12" t="s">
        <v>24</v>
      </c>
      <c r="E6" s="13" t="s">
        <v>33</v>
      </c>
      <c r="F6" s="22" t="s">
        <v>4</v>
      </c>
      <c r="G6" s="13" t="s">
        <v>0</v>
      </c>
      <c r="H6" s="12" t="s">
        <v>181</v>
      </c>
      <c r="I6" s="11">
        <v>2000</v>
      </c>
      <c r="J6" s="10"/>
      <c r="K6" s="9">
        <v>2000</v>
      </c>
      <c r="L6" s="8">
        <f t="shared" si="0"/>
        <v>0</v>
      </c>
    </row>
    <row r="7" spans="1:12" ht="169.5" customHeight="1" thickBot="1" x14ac:dyDescent="0.3">
      <c r="A7" s="47"/>
      <c r="B7" s="13" t="s">
        <v>66</v>
      </c>
      <c r="C7" s="12" t="s">
        <v>62</v>
      </c>
      <c r="D7" s="12" t="s">
        <v>24</v>
      </c>
      <c r="E7" s="13" t="s">
        <v>63</v>
      </c>
      <c r="F7" s="22" t="s">
        <v>4</v>
      </c>
      <c r="G7" s="13" t="s">
        <v>0</v>
      </c>
      <c r="H7" s="12" t="s">
        <v>187</v>
      </c>
      <c r="I7" s="11">
        <v>2000</v>
      </c>
      <c r="J7" s="10">
        <v>1000</v>
      </c>
      <c r="K7" s="9">
        <v>1000</v>
      </c>
      <c r="L7" s="8">
        <f t="shared" si="0"/>
        <v>0</v>
      </c>
    </row>
    <row r="8" spans="1:12" ht="169.5" customHeight="1" thickBot="1" x14ac:dyDescent="0.3">
      <c r="A8" s="47"/>
      <c r="B8" s="13" t="s">
        <v>40</v>
      </c>
      <c r="C8" s="12" t="s">
        <v>15</v>
      </c>
      <c r="D8" s="12" t="s">
        <v>24</v>
      </c>
      <c r="E8" s="13" t="s">
        <v>96</v>
      </c>
      <c r="F8" s="22" t="s">
        <v>4</v>
      </c>
      <c r="G8" s="13" t="s">
        <v>0</v>
      </c>
      <c r="H8" s="12" t="s">
        <v>187</v>
      </c>
      <c r="I8" s="11">
        <v>3000</v>
      </c>
      <c r="J8" s="10"/>
      <c r="K8" s="9">
        <v>3000</v>
      </c>
      <c r="L8" s="8">
        <f t="shared" si="0"/>
        <v>0</v>
      </c>
    </row>
    <row r="9" spans="1:12" ht="169.5" customHeight="1" thickBot="1" x14ac:dyDescent="0.3">
      <c r="A9" s="47"/>
      <c r="B9" s="13" t="s">
        <v>38</v>
      </c>
      <c r="C9" s="12" t="s">
        <v>27</v>
      </c>
      <c r="D9" s="12" t="s">
        <v>24</v>
      </c>
      <c r="E9" s="13" t="s">
        <v>76</v>
      </c>
      <c r="F9" s="22" t="s">
        <v>4</v>
      </c>
      <c r="G9" s="13" t="s">
        <v>0</v>
      </c>
      <c r="H9" s="12" t="s">
        <v>187</v>
      </c>
      <c r="I9" s="11">
        <v>3000</v>
      </c>
      <c r="J9" s="10">
        <v>1000</v>
      </c>
      <c r="K9" s="9">
        <v>2000</v>
      </c>
      <c r="L9" s="8">
        <f t="shared" si="0"/>
        <v>0</v>
      </c>
    </row>
    <row r="10" spans="1:12" ht="169.5" customHeight="1" thickBot="1" x14ac:dyDescent="0.3">
      <c r="A10" s="47"/>
      <c r="B10" s="13" t="s">
        <v>38</v>
      </c>
      <c r="C10" s="12" t="s">
        <v>27</v>
      </c>
      <c r="D10" s="12" t="s">
        <v>24</v>
      </c>
      <c r="E10" s="13" t="s">
        <v>197</v>
      </c>
      <c r="F10" s="22" t="s">
        <v>4</v>
      </c>
      <c r="G10" s="13" t="s">
        <v>0</v>
      </c>
      <c r="H10" s="12" t="s">
        <v>187</v>
      </c>
      <c r="I10" s="11">
        <v>2000</v>
      </c>
      <c r="J10" s="10">
        <v>1000</v>
      </c>
      <c r="K10" s="9">
        <v>1000</v>
      </c>
      <c r="L10" s="8">
        <f t="shared" si="0"/>
        <v>0</v>
      </c>
    </row>
    <row r="11" spans="1:12" ht="169.5" customHeight="1" thickBot="1" x14ac:dyDescent="0.3">
      <c r="A11" s="47"/>
      <c r="B11" s="13" t="s">
        <v>38</v>
      </c>
      <c r="C11" s="12" t="s">
        <v>27</v>
      </c>
      <c r="D11" s="12" t="s">
        <v>24</v>
      </c>
      <c r="E11" s="13" t="s">
        <v>39</v>
      </c>
      <c r="F11" s="22" t="s">
        <v>4</v>
      </c>
      <c r="G11" s="13" t="s">
        <v>0</v>
      </c>
      <c r="H11" s="12" t="s">
        <v>187</v>
      </c>
      <c r="I11" s="11">
        <v>1000</v>
      </c>
      <c r="J11" s="10"/>
      <c r="K11" s="9">
        <v>1000</v>
      </c>
      <c r="L11" s="8">
        <f t="shared" si="0"/>
        <v>0</v>
      </c>
    </row>
    <row r="12" spans="1:12" ht="169.5" customHeight="1" thickBot="1" x14ac:dyDescent="0.3">
      <c r="A12" s="47"/>
      <c r="B12" s="13" t="s">
        <v>112</v>
      </c>
      <c r="C12" s="12" t="s">
        <v>113</v>
      </c>
      <c r="D12" s="12" t="s">
        <v>24</v>
      </c>
      <c r="E12" s="13" t="s">
        <v>115</v>
      </c>
      <c r="F12" s="22" t="s">
        <v>9</v>
      </c>
      <c r="G12" s="13" t="s">
        <v>0</v>
      </c>
      <c r="H12" s="12" t="s">
        <v>181</v>
      </c>
      <c r="I12" s="11">
        <v>2000</v>
      </c>
      <c r="J12" s="10">
        <v>1000</v>
      </c>
      <c r="K12" s="9">
        <v>1000</v>
      </c>
      <c r="L12" s="8">
        <f t="shared" si="0"/>
        <v>0</v>
      </c>
    </row>
    <row r="13" spans="1:12" ht="169.5" customHeight="1" thickBot="1" x14ac:dyDescent="0.3">
      <c r="A13" s="47"/>
      <c r="B13" s="13" t="s">
        <v>32</v>
      </c>
      <c r="C13" s="12" t="s">
        <v>31</v>
      </c>
      <c r="D13" s="12" t="s">
        <v>24</v>
      </c>
      <c r="E13" s="13" t="s">
        <v>78</v>
      </c>
      <c r="F13" s="22" t="s">
        <v>4</v>
      </c>
      <c r="G13" s="13" t="s">
        <v>0</v>
      </c>
      <c r="H13" s="12" t="s">
        <v>181</v>
      </c>
      <c r="I13" s="11">
        <v>1200</v>
      </c>
      <c r="J13" s="10">
        <v>500</v>
      </c>
      <c r="K13" s="9">
        <v>700</v>
      </c>
      <c r="L13" s="8">
        <f t="shared" si="0"/>
        <v>0</v>
      </c>
    </row>
    <row r="14" spans="1:12" ht="169.5" customHeight="1" thickBot="1" x14ac:dyDescent="0.3">
      <c r="A14" s="47"/>
      <c r="B14" s="13" t="s">
        <v>32</v>
      </c>
      <c r="C14" s="12" t="s">
        <v>31</v>
      </c>
      <c r="D14" s="12" t="s">
        <v>24</v>
      </c>
      <c r="E14" s="13" t="s">
        <v>71</v>
      </c>
      <c r="F14" s="22" t="s">
        <v>4</v>
      </c>
      <c r="G14" s="13" t="s">
        <v>0</v>
      </c>
      <c r="H14" s="12" t="s">
        <v>181</v>
      </c>
      <c r="I14" s="11">
        <v>1720</v>
      </c>
      <c r="J14" s="10">
        <v>500</v>
      </c>
      <c r="K14" s="9">
        <v>1220</v>
      </c>
      <c r="L14" s="8">
        <f t="shared" si="0"/>
        <v>0</v>
      </c>
    </row>
    <row r="15" spans="1:12" ht="169.5" customHeight="1" thickBot="1" x14ac:dyDescent="0.3">
      <c r="A15" s="47"/>
      <c r="B15" s="13" t="s">
        <v>32</v>
      </c>
      <c r="C15" s="12" t="s">
        <v>31</v>
      </c>
      <c r="D15" s="12" t="s">
        <v>24</v>
      </c>
      <c r="E15" s="13" t="s">
        <v>70</v>
      </c>
      <c r="F15" s="22" t="s">
        <v>4</v>
      </c>
      <c r="G15" s="13" t="s">
        <v>0</v>
      </c>
      <c r="H15" s="12" t="s">
        <v>181</v>
      </c>
      <c r="I15" s="11">
        <v>1500</v>
      </c>
      <c r="J15" s="10">
        <v>1000</v>
      </c>
      <c r="K15" s="9">
        <v>500</v>
      </c>
      <c r="L15" s="8">
        <f t="shared" si="0"/>
        <v>0</v>
      </c>
    </row>
    <row r="16" spans="1:12" ht="169.5" customHeight="1" thickBot="1" x14ac:dyDescent="0.3">
      <c r="A16" s="47"/>
      <c r="B16" s="13" t="s">
        <v>32</v>
      </c>
      <c r="C16" s="12" t="s">
        <v>31</v>
      </c>
      <c r="D16" s="12" t="s">
        <v>24</v>
      </c>
      <c r="E16" s="13" t="s">
        <v>171</v>
      </c>
      <c r="F16" s="22" t="s">
        <v>4</v>
      </c>
      <c r="G16" s="13" t="s">
        <v>0</v>
      </c>
      <c r="H16" s="12" t="s">
        <v>181</v>
      </c>
      <c r="I16" s="11">
        <v>2000</v>
      </c>
      <c r="J16" s="10"/>
      <c r="K16" s="9">
        <v>2000</v>
      </c>
      <c r="L16" s="8">
        <f t="shared" si="0"/>
        <v>0</v>
      </c>
    </row>
    <row r="17" spans="1:12" ht="169.5" customHeight="1" thickBot="1" x14ac:dyDescent="0.3">
      <c r="A17" s="47"/>
      <c r="B17" s="13" t="s">
        <v>32</v>
      </c>
      <c r="C17" s="12" t="s">
        <v>31</v>
      </c>
      <c r="D17" s="12" t="s">
        <v>24</v>
      </c>
      <c r="E17" s="13" t="s">
        <v>80</v>
      </c>
      <c r="F17" s="22" t="s">
        <v>9</v>
      </c>
      <c r="G17" s="13" t="s">
        <v>0</v>
      </c>
      <c r="H17" s="12" t="s">
        <v>181</v>
      </c>
      <c r="I17" s="11">
        <v>3000</v>
      </c>
      <c r="J17" s="10"/>
      <c r="K17" s="9">
        <v>3000</v>
      </c>
      <c r="L17" s="8">
        <f t="shared" si="0"/>
        <v>0</v>
      </c>
    </row>
    <row r="18" spans="1:12" ht="169.5" customHeight="1" thickBot="1" x14ac:dyDescent="0.3">
      <c r="A18" s="48"/>
      <c r="B18" s="13" t="s">
        <v>28</v>
      </c>
      <c r="C18" s="12" t="s">
        <v>155</v>
      </c>
      <c r="D18" s="12" t="s">
        <v>24</v>
      </c>
      <c r="E18" s="13" t="s">
        <v>156</v>
      </c>
      <c r="F18" s="22" t="s">
        <v>4</v>
      </c>
      <c r="G18" s="13" t="s">
        <v>0</v>
      </c>
      <c r="H18" s="12" t="s">
        <v>181</v>
      </c>
      <c r="I18" s="11">
        <v>3500</v>
      </c>
      <c r="J18" s="10"/>
      <c r="K18" s="9">
        <v>3500</v>
      </c>
      <c r="L18" s="8">
        <f t="shared" si="0"/>
        <v>0</v>
      </c>
    </row>
    <row r="19" spans="1:12" ht="169.5" customHeight="1" thickBot="1" x14ac:dyDescent="0.3">
      <c r="A19" s="46" t="s">
        <v>36</v>
      </c>
      <c r="B19" s="13" t="s">
        <v>35</v>
      </c>
      <c r="C19" s="12" t="s">
        <v>155</v>
      </c>
      <c r="D19" s="12" t="s">
        <v>24</v>
      </c>
      <c r="E19" s="13" t="s">
        <v>156</v>
      </c>
      <c r="F19" s="22" t="s">
        <v>4</v>
      </c>
      <c r="G19" s="13" t="s">
        <v>0</v>
      </c>
      <c r="H19" s="12" t="s">
        <v>181</v>
      </c>
      <c r="I19" s="11">
        <v>3000</v>
      </c>
      <c r="J19" s="10">
        <v>1000</v>
      </c>
      <c r="K19" s="9">
        <v>2000</v>
      </c>
      <c r="L19" s="8">
        <f t="shared" si="0"/>
        <v>0</v>
      </c>
    </row>
    <row r="20" spans="1:12" ht="169.5" customHeight="1" thickBot="1" x14ac:dyDescent="0.3">
      <c r="A20" s="47"/>
      <c r="B20" s="13" t="s">
        <v>66</v>
      </c>
      <c r="C20" s="12" t="s">
        <v>62</v>
      </c>
      <c r="D20" s="12" t="s">
        <v>24</v>
      </c>
      <c r="E20" s="13" t="s">
        <v>63</v>
      </c>
      <c r="F20" s="22" t="s">
        <v>4</v>
      </c>
      <c r="G20" s="13" t="s">
        <v>0</v>
      </c>
      <c r="H20" s="12" t="s">
        <v>187</v>
      </c>
      <c r="I20" s="11">
        <v>1000</v>
      </c>
      <c r="J20" s="10">
        <v>500</v>
      </c>
      <c r="K20" s="9">
        <v>500</v>
      </c>
      <c r="L20" s="8">
        <f t="shared" si="0"/>
        <v>0</v>
      </c>
    </row>
    <row r="21" spans="1:12" ht="169.5" customHeight="1" thickBot="1" x14ac:dyDescent="0.3">
      <c r="A21" s="47"/>
      <c r="B21" s="13" t="s">
        <v>35</v>
      </c>
      <c r="C21" s="12" t="s">
        <v>34</v>
      </c>
      <c r="D21" s="12" t="s">
        <v>24</v>
      </c>
      <c r="E21" s="13" t="s">
        <v>33</v>
      </c>
      <c r="F21" s="22" t="s">
        <v>4</v>
      </c>
      <c r="G21" s="13" t="s">
        <v>0</v>
      </c>
      <c r="H21" s="12" t="s">
        <v>181</v>
      </c>
      <c r="I21" s="11">
        <v>3000</v>
      </c>
      <c r="J21" s="10">
        <v>1000</v>
      </c>
      <c r="K21" s="9">
        <v>2000</v>
      </c>
      <c r="L21" s="8">
        <f t="shared" si="0"/>
        <v>0</v>
      </c>
    </row>
    <row r="22" spans="1:12" ht="169.5" customHeight="1" thickBot="1" x14ac:dyDescent="0.3">
      <c r="A22" s="47"/>
      <c r="B22" s="13" t="s">
        <v>61</v>
      </c>
      <c r="C22" s="12" t="s">
        <v>31</v>
      </c>
      <c r="D22" s="12" t="s">
        <v>24</v>
      </c>
      <c r="E22" s="13" t="s">
        <v>71</v>
      </c>
      <c r="F22" s="22" t="s">
        <v>4</v>
      </c>
      <c r="G22" s="13" t="s">
        <v>0</v>
      </c>
      <c r="H22" s="12" t="s">
        <v>181</v>
      </c>
      <c r="I22" s="11">
        <v>2000</v>
      </c>
      <c r="J22" s="10">
        <v>1000</v>
      </c>
      <c r="K22" s="9">
        <v>1000</v>
      </c>
      <c r="L22" s="8">
        <f t="shared" si="0"/>
        <v>0</v>
      </c>
    </row>
    <row r="23" spans="1:12" ht="169.5" customHeight="1" thickBot="1" x14ac:dyDescent="0.3">
      <c r="A23" s="47"/>
      <c r="B23" s="24" t="s">
        <v>77</v>
      </c>
      <c r="C23" s="12" t="s">
        <v>27</v>
      </c>
      <c r="D23" s="12" t="s">
        <v>24</v>
      </c>
      <c r="E23" s="13" t="s">
        <v>197</v>
      </c>
      <c r="F23" s="22" t="s">
        <v>4</v>
      </c>
      <c r="G23" s="13" t="s">
        <v>0</v>
      </c>
      <c r="H23" s="12" t="s">
        <v>187</v>
      </c>
      <c r="I23" s="11">
        <v>1000</v>
      </c>
      <c r="J23" s="10">
        <v>1000</v>
      </c>
      <c r="K23" s="9"/>
      <c r="L23" s="8">
        <f t="shared" si="0"/>
        <v>0</v>
      </c>
    </row>
    <row r="24" spans="1:12" ht="169.5" customHeight="1" thickBot="1" x14ac:dyDescent="0.3">
      <c r="A24" s="47"/>
      <c r="B24" s="24" t="s">
        <v>35</v>
      </c>
      <c r="C24" s="12" t="s">
        <v>155</v>
      </c>
      <c r="D24" s="12" t="s">
        <v>24</v>
      </c>
      <c r="E24" s="23" t="s">
        <v>156</v>
      </c>
      <c r="F24" s="22" t="s">
        <v>4</v>
      </c>
      <c r="G24" s="13" t="s">
        <v>0</v>
      </c>
      <c r="H24" s="12" t="s">
        <v>181</v>
      </c>
      <c r="I24" s="11">
        <v>1500</v>
      </c>
      <c r="J24" s="10"/>
      <c r="K24" s="9">
        <v>1500</v>
      </c>
      <c r="L24" s="8">
        <f t="shared" si="0"/>
        <v>0</v>
      </c>
    </row>
    <row r="25" spans="1:12" ht="169.5" customHeight="1" thickBot="1" x14ac:dyDescent="0.3">
      <c r="A25" s="47"/>
      <c r="B25" s="24" t="s">
        <v>35</v>
      </c>
      <c r="C25" s="12" t="s">
        <v>34</v>
      </c>
      <c r="D25" s="12" t="s">
        <v>24</v>
      </c>
      <c r="E25" s="23" t="s">
        <v>33</v>
      </c>
      <c r="F25" s="22" t="s">
        <v>4</v>
      </c>
      <c r="G25" s="13" t="s">
        <v>0</v>
      </c>
      <c r="H25" s="12" t="s">
        <v>187</v>
      </c>
      <c r="I25" s="11">
        <v>987</v>
      </c>
      <c r="J25" s="10"/>
      <c r="K25" s="9">
        <v>987</v>
      </c>
      <c r="L25" s="8">
        <f t="shared" si="0"/>
        <v>0</v>
      </c>
    </row>
    <row r="26" spans="1:12" ht="169.5" customHeight="1" thickBot="1" x14ac:dyDescent="0.3">
      <c r="A26" s="47"/>
      <c r="B26" s="24" t="s">
        <v>32</v>
      </c>
      <c r="C26" s="12" t="s">
        <v>31</v>
      </c>
      <c r="D26" s="12" t="s">
        <v>24</v>
      </c>
      <c r="E26" s="23" t="s">
        <v>78</v>
      </c>
      <c r="F26" s="22" t="s">
        <v>4</v>
      </c>
      <c r="G26" s="13" t="s">
        <v>0</v>
      </c>
      <c r="H26" s="12" t="s">
        <v>181</v>
      </c>
      <c r="I26" s="11">
        <v>1200</v>
      </c>
      <c r="J26" s="10"/>
      <c r="K26" s="9">
        <v>1200</v>
      </c>
      <c r="L26" s="8">
        <f t="shared" si="0"/>
        <v>0</v>
      </c>
    </row>
    <row r="27" spans="1:12" ht="169.5" customHeight="1" thickBot="1" x14ac:dyDescent="0.3">
      <c r="A27" s="47"/>
      <c r="B27" s="24" t="s">
        <v>32</v>
      </c>
      <c r="C27" s="12" t="s">
        <v>31</v>
      </c>
      <c r="D27" s="12" t="s">
        <v>24</v>
      </c>
      <c r="E27" s="23" t="s">
        <v>78</v>
      </c>
      <c r="F27" s="22" t="s">
        <v>4</v>
      </c>
      <c r="G27" s="13" t="s">
        <v>0</v>
      </c>
      <c r="H27" s="12" t="s">
        <v>187</v>
      </c>
      <c r="I27" s="11">
        <v>217</v>
      </c>
      <c r="J27" s="10"/>
      <c r="K27" s="9">
        <v>217</v>
      </c>
      <c r="L27" s="8">
        <f t="shared" si="0"/>
        <v>0</v>
      </c>
    </row>
    <row r="28" spans="1:12" ht="169.5" customHeight="1" thickBot="1" x14ac:dyDescent="0.3">
      <c r="A28" s="47"/>
      <c r="B28" s="24" t="s">
        <v>77</v>
      </c>
      <c r="C28" s="12" t="s">
        <v>27</v>
      </c>
      <c r="D28" s="12" t="s">
        <v>24</v>
      </c>
      <c r="E28" s="23" t="s">
        <v>39</v>
      </c>
      <c r="F28" s="22" t="s">
        <v>4</v>
      </c>
      <c r="G28" s="13" t="s">
        <v>0</v>
      </c>
      <c r="H28" s="12" t="s">
        <v>187</v>
      </c>
      <c r="I28" s="11">
        <v>940</v>
      </c>
      <c r="J28" s="10"/>
      <c r="K28" s="9">
        <v>940</v>
      </c>
      <c r="L28" s="8">
        <f t="shared" si="0"/>
        <v>0</v>
      </c>
    </row>
    <row r="29" spans="1:12" ht="169.5" customHeight="1" thickBot="1" x14ac:dyDescent="0.3">
      <c r="A29" s="47"/>
      <c r="B29" s="24" t="s">
        <v>40</v>
      </c>
      <c r="C29" s="12" t="s">
        <v>15</v>
      </c>
      <c r="D29" s="12" t="s">
        <v>24</v>
      </c>
      <c r="E29" s="23" t="s">
        <v>96</v>
      </c>
      <c r="F29" s="22" t="s">
        <v>4</v>
      </c>
      <c r="G29" s="13" t="s">
        <v>0</v>
      </c>
      <c r="H29" s="12" t="s">
        <v>187</v>
      </c>
      <c r="I29" s="11">
        <v>1122</v>
      </c>
      <c r="J29" s="10"/>
      <c r="K29" s="9">
        <v>1122</v>
      </c>
      <c r="L29" s="8">
        <f t="shared" si="0"/>
        <v>0</v>
      </c>
    </row>
    <row r="30" spans="1:12" ht="169.5" customHeight="1" thickBot="1" x14ac:dyDescent="0.3">
      <c r="A30" s="47"/>
      <c r="B30" s="24" t="s">
        <v>77</v>
      </c>
      <c r="C30" s="12" t="s">
        <v>27</v>
      </c>
      <c r="D30" s="12" t="s">
        <v>24</v>
      </c>
      <c r="E30" s="13" t="s">
        <v>39</v>
      </c>
      <c r="F30" s="22" t="s">
        <v>4</v>
      </c>
      <c r="G30" s="13" t="s">
        <v>0</v>
      </c>
      <c r="H30" s="12" t="s">
        <v>187</v>
      </c>
      <c r="I30" s="11">
        <v>1000</v>
      </c>
      <c r="J30" s="10"/>
      <c r="K30" s="9">
        <v>1000</v>
      </c>
      <c r="L30" s="8">
        <f t="shared" si="0"/>
        <v>0</v>
      </c>
    </row>
    <row r="31" spans="1:12" ht="169.5" customHeight="1" thickBot="1" x14ac:dyDescent="0.3">
      <c r="A31" s="47"/>
      <c r="B31" s="24" t="s">
        <v>40</v>
      </c>
      <c r="C31" s="12" t="s">
        <v>15</v>
      </c>
      <c r="D31" s="12" t="s">
        <v>24</v>
      </c>
      <c r="E31" s="13" t="s">
        <v>96</v>
      </c>
      <c r="F31" s="22" t="s">
        <v>4</v>
      </c>
      <c r="G31" s="13" t="s">
        <v>0</v>
      </c>
      <c r="H31" s="12" t="s">
        <v>187</v>
      </c>
      <c r="I31" s="11">
        <v>2000</v>
      </c>
      <c r="J31" s="10">
        <v>1000</v>
      </c>
      <c r="K31" s="9">
        <v>1000</v>
      </c>
      <c r="L31" s="8">
        <f t="shared" si="0"/>
        <v>0</v>
      </c>
    </row>
    <row r="32" spans="1:12" ht="169.5" customHeight="1" thickBot="1" x14ac:dyDescent="0.3">
      <c r="A32" s="47"/>
      <c r="B32" s="24" t="s">
        <v>77</v>
      </c>
      <c r="C32" s="12" t="s">
        <v>27</v>
      </c>
      <c r="D32" s="12" t="s">
        <v>24</v>
      </c>
      <c r="E32" s="13" t="s">
        <v>76</v>
      </c>
      <c r="F32" s="22" t="s">
        <v>4</v>
      </c>
      <c r="G32" s="13" t="s">
        <v>0</v>
      </c>
      <c r="H32" s="12" t="s">
        <v>181</v>
      </c>
      <c r="I32" s="11">
        <v>1000</v>
      </c>
      <c r="J32" s="10">
        <v>1000</v>
      </c>
      <c r="K32" s="9"/>
      <c r="L32" s="8">
        <f t="shared" si="0"/>
        <v>0</v>
      </c>
    </row>
    <row r="33" spans="1:12" ht="169.5" customHeight="1" thickBot="1" x14ac:dyDescent="0.3">
      <c r="A33" s="47"/>
      <c r="B33" s="24" t="s">
        <v>77</v>
      </c>
      <c r="C33" s="12" t="s">
        <v>27</v>
      </c>
      <c r="D33" s="12" t="s">
        <v>24</v>
      </c>
      <c r="E33" s="13" t="s">
        <v>76</v>
      </c>
      <c r="F33" s="22" t="s">
        <v>4</v>
      </c>
      <c r="G33" s="13" t="s">
        <v>0</v>
      </c>
      <c r="H33" s="12" t="s">
        <v>187</v>
      </c>
      <c r="I33" s="11">
        <v>1000</v>
      </c>
      <c r="J33" s="10"/>
      <c r="K33" s="9">
        <v>1000</v>
      </c>
      <c r="L33" s="8">
        <f t="shared" si="0"/>
        <v>0</v>
      </c>
    </row>
    <row r="34" spans="1:12" ht="169.5" customHeight="1" thickBot="1" x14ac:dyDescent="0.3">
      <c r="A34" s="47"/>
      <c r="B34" s="24" t="s">
        <v>157</v>
      </c>
      <c r="C34" s="12" t="s">
        <v>26</v>
      </c>
      <c r="D34" s="12" t="s">
        <v>24</v>
      </c>
      <c r="E34" s="13" t="s">
        <v>25</v>
      </c>
      <c r="F34" s="22" t="s">
        <v>4</v>
      </c>
      <c r="G34" s="13" t="s">
        <v>0</v>
      </c>
      <c r="H34" s="12" t="s">
        <v>181</v>
      </c>
      <c r="I34" s="11">
        <v>2756</v>
      </c>
      <c r="J34" s="10"/>
      <c r="K34" s="9">
        <v>2756</v>
      </c>
      <c r="L34" s="8">
        <f t="shared" si="0"/>
        <v>0</v>
      </c>
    </row>
    <row r="35" spans="1:12" ht="169.5" customHeight="1" thickBot="1" x14ac:dyDescent="0.3">
      <c r="A35" s="48"/>
      <c r="B35" s="24" t="s">
        <v>112</v>
      </c>
      <c r="C35" s="12" t="s">
        <v>113</v>
      </c>
      <c r="D35" s="12" t="s">
        <v>24</v>
      </c>
      <c r="E35" s="13" t="s">
        <v>115</v>
      </c>
      <c r="F35" s="22" t="s">
        <v>9</v>
      </c>
      <c r="G35" s="13" t="s">
        <v>0</v>
      </c>
      <c r="H35" s="12" t="s">
        <v>181</v>
      </c>
      <c r="I35" s="11">
        <v>2000</v>
      </c>
      <c r="J35" s="10"/>
      <c r="K35" s="9">
        <v>2000</v>
      </c>
      <c r="L35" s="8">
        <f t="shared" si="0"/>
        <v>0</v>
      </c>
    </row>
    <row r="36" spans="1:12" ht="169.5" customHeight="1" thickBot="1" x14ac:dyDescent="0.3">
      <c r="A36" s="46" t="s">
        <v>23</v>
      </c>
      <c r="B36" s="24" t="s">
        <v>12</v>
      </c>
      <c r="C36" s="12" t="s">
        <v>6</v>
      </c>
      <c r="D36" s="12" t="s">
        <v>20</v>
      </c>
      <c r="E36" s="13" t="s">
        <v>22</v>
      </c>
      <c r="F36" s="22" t="s">
        <v>4</v>
      </c>
      <c r="G36" s="13" t="s">
        <v>0</v>
      </c>
      <c r="H36" s="12" t="s">
        <v>181</v>
      </c>
      <c r="I36" s="11">
        <v>4000</v>
      </c>
      <c r="J36" s="10"/>
      <c r="K36" s="9">
        <v>4000</v>
      </c>
      <c r="L36" s="8">
        <f t="shared" si="0"/>
        <v>0</v>
      </c>
    </row>
    <row r="37" spans="1:12" ht="169.5" customHeight="1" thickBot="1" x14ac:dyDescent="0.3">
      <c r="A37" s="47"/>
      <c r="B37" s="24" t="s">
        <v>21</v>
      </c>
      <c r="C37" s="12" t="s">
        <v>118</v>
      </c>
      <c r="D37" s="12" t="s">
        <v>20</v>
      </c>
      <c r="E37" s="13" t="s">
        <v>119</v>
      </c>
      <c r="F37" s="22" t="s">
        <v>4</v>
      </c>
      <c r="G37" s="13" t="s">
        <v>0</v>
      </c>
      <c r="H37" s="12" t="s">
        <v>181</v>
      </c>
      <c r="I37" s="11">
        <v>1320</v>
      </c>
      <c r="J37" s="10"/>
      <c r="K37" s="9">
        <v>1320</v>
      </c>
      <c r="L37" s="8">
        <f t="shared" si="0"/>
        <v>0</v>
      </c>
    </row>
    <row r="38" spans="1:12" ht="169.5" customHeight="1" thickBot="1" x14ac:dyDescent="0.3">
      <c r="A38" s="47"/>
      <c r="B38" s="24" t="s">
        <v>21</v>
      </c>
      <c r="C38" s="12" t="s">
        <v>3</v>
      </c>
      <c r="D38" s="12" t="s">
        <v>20</v>
      </c>
      <c r="E38" s="13" t="s">
        <v>56</v>
      </c>
      <c r="F38" s="22" t="s">
        <v>9</v>
      </c>
      <c r="G38" s="13" t="s">
        <v>0</v>
      </c>
      <c r="H38" s="12" t="s">
        <v>181</v>
      </c>
      <c r="I38" s="11">
        <v>3000</v>
      </c>
      <c r="J38" s="10">
        <v>2000</v>
      </c>
      <c r="K38" s="9">
        <v>1000</v>
      </c>
      <c r="L38" s="8">
        <f t="shared" si="0"/>
        <v>0</v>
      </c>
    </row>
    <row r="39" spans="1:12" ht="169.5" customHeight="1" thickBot="1" x14ac:dyDescent="0.3">
      <c r="A39" s="47"/>
      <c r="B39" s="24" t="s">
        <v>12</v>
      </c>
      <c r="C39" s="12" t="s">
        <v>6</v>
      </c>
      <c r="D39" s="12" t="s">
        <v>20</v>
      </c>
      <c r="E39" s="23" t="s">
        <v>22</v>
      </c>
      <c r="F39" s="22" t="s">
        <v>4</v>
      </c>
      <c r="G39" s="13" t="s">
        <v>0</v>
      </c>
      <c r="H39" s="12" t="s">
        <v>187</v>
      </c>
      <c r="I39" s="11">
        <v>2000</v>
      </c>
      <c r="J39" s="10"/>
      <c r="K39" s="9">
        <v>2000</v>
      </c>
      <c r="L39" s="8">
        <f t="shared" si="0"/>
        <v>0</v>
      </c>
    </row>
    <row r="40" spans="1:12" ht="169.5" customHeight="1" thickBot="1" x14ac:dyDescent="0.3">
      <c r="A40" s="47"/>
      <c r="B40" s="24" t="s">
        <v>21</v>
      </c>
      <c r="C40" s="12" t="s">
        <v>118</v>
      </c>
      <c r="D40" s="12" t="s">
        <v>20</v>
      </c>
      <c r="E40" s="23" t="s">
        <v>119</v>
      </c>
      <c r="F40" s="22" t="s">
        <v>4</v>
      </c>
      <c r="G40" s="13" t="s">
        <v>0</v>
      </c>
      <c r="H40" s="12" t="s">
        <v>187</v>
      </c>
      <c r="I40" s="11">
        <v>2500</v>
      </c>
      <c r="J40" s="10"/>
      <c r="K40" s="9">
        <v>2500</v>
      </c>
      <c r="L40" s="8">
        <f t="shared" si="0"/>
        <v>0</v>
      </c>
    </row>
    <row r="41" spans="1:12" ht="169.5" customHeight="1" thickBot="1" x14ac:dyDescent="0.3">
      <c r="A41" s="47"/>
      <c r="B41" s="24" t="s">
        <v>21</v>
      </c>
      <c r="C41" s="12" t="s">
        <v>3</v>
      </c>
      <c r="D41" s="12" t="s">
        <v>20</v>
      </c>
      <c r="E41" s="23" t="s">
        <v>56</v>
      </c>
      <c r="F41" s="22" t="s">
        <v>9</v>
      </c>
      <c r="G41" s="13" t="s">
        <v>0</v>
      </c>
      <c r="H41" s="12" t="s">
        <v>181</v>
      </c>
      <c r="I41" s="11">
        <v>5000</v>
      </c>
      <c r="J41" s="10"/>
      <c r="K41" s="9">
        <v>5000</v>
      </c>
      <c r="L41" s="8">
        <f t="shared" si="0"/>
        <v>0</v>
      </c>
    </row>
    <row r="42" spans="1:12" ht="169.5" customHeight="1" thickBot="1" x14ac:dyDescent="0.3">
      <c r="A42" s="48"/>
      <c r="B42" s="24" t="s">
        <v>21</v>
      </c>
      <c r="C42" s="12" t="s">
        <v>3</v>
      </c>
      <c r="D42" s="12" t="s">
        <v>20</v>
      </c>
      <c r="E42" s="13" t="s">
        <v>57</v>
      </c>
      <c r="F42" s="22" t="s">
        <v>9</v>
      </c>
      <c r="G42" s="13" t="s">
        <v>0</v>
      </c>
      <c r="H42" s="12" t="s">
        <v>181</v>
      </c>
      <c r="I42" s="11">
        <v>3000</v>
      </c>
      <c r="J42" s="10"/>
      <c r="K42" s="9">
        <v>3000</v>
      </c>
      <c r="L42" s="8">
        <f t="shared" si="0"/>
        <v>0</v>
      </c>
    </row>
    <row r="43" spans="1:12" ht="169.5" customHeight="1" thickBot="1" x14ac:dyDescent="0.3">
      <c r="A43" s="46" t="s">
        <v>19</v>
      </c>
      <c r="B43" s="24" t="s">
        <v>7</v>
      </c>
      <c r="C43" s="12" t="s">
        <v>15</v>
      </c>
      <c r="D43" s="12" t="s">
        <v>14</v>
      </c>
      <c r="E43" s="13" t="s">
        <v>65</v>
      </c>
      <c r="F43" s="25" t="s">
        <v>4</v>
      </c>
      <c r="G43" s="13" t="s">
        <v>0</v>
      </c>
      <c r="H43" s="12" t="s">
        <v>181</v>
      </c>
      <c r="I43" s="11">
        <v>2000</v>
      </c>
      <c r="J43" s="10"/>
      <c r="K43" s="9">
        <v>2000</v>
      </c>
      <c r="L43" s="8">
        <f t="shared" si="0"/>
        <v>0</v>
      </c>
    </row>
    <row r="44" spans="1:12" ht="169.5" customHeight="1" thickBot="1" x14ac:dyDescent="0.3">
      <c r="A44" s="47"/>
      <c r="B44" s="24" t="s">
        <v>7</v>
      </c>
      <c r="C44" s="12" t="s">
        <v>15</v>
      </c>
      <c r="D44" s="12" t="s">
        <v>14</v>
      </c>
      <c r="E44" s="13" t="s">
        <v>13</v>
      </c>
      <c r="F44" s="22" t="s">
        <v>4</v>
      </c>
      <c r="G44" s="13" t="s">
        <v>0</v>
      </c>
      <c r="H44" s="12" t="s">
        <v>181</v>
      </c>
      <c r="I44" s="11">
        <v>6000</v>
      </c>
      <c r="J44" s="10">
        <v>1000</v>
      </c>
      <c r="K44" s="9">
        <v>5000</v>
      </c>
      <c r="L44" s="8">
        <f t="shared" si="0"/>
        <v>0</v>
      </c>
    </row>
    <row r="45" spans="1:12" ht="169.5" customHeight="1" thickBot="1" x14ac:dyDescent="0.3">
      <c r="A45" s="47"/>
      <c r="B45" s="24" t="s">
        <v>12</v>
      </c>
      <c r="C45" s="12" t="s">
        <v>118</v>
      </c>
      <c r="D45" s="12" t="s">
        <v>123</v>
      </c>
      <c r="E45" s="13" t="s">
        <v>124</v>
      </c>
      <c r="F45" s="22" t="s">
        <v>9</v>
      </c>
      <c r="G45" s="13" t="s">
        <v>0</v>
      </c>
      <c r="H45" s="12" t="s">
        <v>187</v>
      </c>
      <c r="I45" s="11">
        <v>5000</v>
      </c>
      <c r="J45" s="10">
        <v>2000</v>
      </c>
      <c r="K45" s="9">
        <v>3000</v>
      </c>
      <c r="L45" s="8">
        <f t="shared" si="0"/>
        <v>0</v>
      </c>
    </row>
    <row r="46" spans="1:12" ht="169.5" customHeight="1" thickBot="1" x14ac:dyDescent="0.3">
      <c r="A46" s="47"/>
      <c r="B46" s="24" t="s">
        <v>12</v>
      </c>
      <c r="C46" s="12" t="s">
        <v>3</v>
      </c>
      <c r="D46" s="12" t="s">
        <v>11</v>
      </c>
      <c r="E46" s="13" t="s">
        <v>10</v>
      </c>
      <c r="F46" s="22" t="s">
        <v>4</v>
      </c>
      <c r="G46" s="13" t="s">
        <v>0</v>
      </c>
      <c r="H46" s="12" t="s">
        <v>181</v>
      </c>
      <c r="I46" s="11">
        <v>4000</v>
      </c>
      <c r="J46" s="10">
        <v>1000</v>
      </c>
      <c r="K46" s="9">
        <v>3000</v>
      </c>
      <c r="L46" s="8">
        <f t="shared" si="0"/>
        <v>0</v>
      </c>
    </row>
    <row r="47" spans="1:12" ht="169.5" customHeight="1" thickBot="1" x14ac:dyDescent="0.3">
      <c r="A47" s="47"/>
      <c r="B47" s="24" t="s">
        <v>7</v>
      </c>
      <c r="C47" s="12" t="s">
        <v>15</v>
      </c>
      <c r="D47" s="12" t="s">
        <v>14</v>
      </c>
      <c r="E47" s="23" t="s">
        <v>13</v>
      </c>
      <c r="F47" s="22" t="s">
        <v>4</v>
      </c>
      <c r="G47" s="13" t="s">
        <v>0</v>
      </c>
      <c r="H47" s="12" t="s">
        <v>187</v>
      </c>
      <c r="I47" s="11">
        <v>500</v>
      </c>
      <c r="J47" s="10"/>
      <c r="K47" s="9">
        <v>500</v>
      </c>
      <c r="L47" s="8">
        <f t="shared" si="0"/>
        <v>0</v>
      </c>
    </row>
    <row r="48" spans="1:12" ht="169.5" customHeight="1" thickBot="1" x14ac:dyDescent="0.3">
      <c r="A48" s="47"/>
      <c r="B48" s="24" t="s">
        <v>7</v>
      </c>
      <c r="C48" s="12" t="s">
        <v>15</v>
      </c>
      <c r="D48" s="12" t="s">
        <v>14</v>
      </c>
      <c r="E48" s="23" t="s">
        <v>65</v>
      </c>
      <c r="F48" s="22" t="s">
        <v>4</v>
      </c>
      <c r="G48" s="13" t="s">
        <v>0</v>
      </c>
      <c r="H48" s="12" t="s">
        <v>187</v>
      </c>
      <c r="I48" s="11">
        <v>2000</v>
      </c>
      <c r="J48" s="10"/>
      <c r="K48" s="9">
        <v>2000</v>
      </c>
      <c r="L48" s="8">
        <f t="shared" si="0"/>
        <v>0</v>
      </c>
    </row>
    <row r="49" spans="1:12" ht="169.5" customHeight="1" thickBot="1" x14ac:dyDescent="0.3">
      <c r="A49" s="47"/>
      <c r="B49" s="24" t="s">
        <v>12</v>
      </c>
      <c r="C49" s="12" t="s">
        <v>118</v>
      </c>
      <c r="D49" s="12" t="s">
        <v>123</v>
      </c>
      <c r="E49" s="23" t="s">
        <v>124</v>
      </c>
      <c r="F49" s="22" t="s">
        <v>4</v>
      </c>
      <c r="G49" s="13" t="s">
        <v>0</v>
      </c>
      <c r="H49" s="12" t="s">
        <v>187</v>
      </c>
      <c r="I49" s="11">
        <v>2362</v>
      </c>
      <c r="J49" s="10"/>
      <c r="K49" s="9">
        <v>2362</v>
      </c>
      <c r="L49" s="8">
        <f t="shared" si="0"/>
        <v>0</v>
      </c>
    </row>
    <row r="50" spans="1:12" ht="169.5" customHeight="1" thickBot="1" x14ac:dyDescent="0.3">
      <c r="A50" s="47"/>
      <c r="B50" s="24" t="s">
        <v>12</v>
      </c>
      <c r="C50" s="12" t="s">
        <v>3</v>
      </c>
      <c r="D50" s="12" t="s">
        <v>11</v>
      </c>
      <c r="E50" s="23" t="s">
        <v>10</v>
      </c>
      <c r="F50" s="22" t="s">
        <v>4</v>
      </c>
      <c r="G50" s="13" t="s">
        <v>0</v>
      </c>
      <c r="H50" s="12" t="s">
        <v>187</v>
      </c>
      <c r="I50" s="11">
        <v>13454</v>
      </c>
      <c r="J50" s="10"/>
      <c r="K50" s="9">
        <f>5000+5000+3454</f>
        <v>13454</v>
      </c>
      <c r="L50" s="8">
        <f t="shared" si="0"/>
        <v>0</v>
      </c>
    </row>
    <row r="51" spans="1:12" ht="169.5" customHeight="1" thickBot="1" x14ac:dyDescent="0.3">
      <c r="A51" s="47"/>
      <c r="B51" s="24" t="s">
        <v>12</v>
      </c>
      <c r="C51" s="12" t="s">
        <v>3</v>
      </c>
      <c r="D51" s="12" t="s">
        <v>11</v>
      </c>
      <c r="E51" s="13" t="s">
        <v>10</v>
      </c>
      <c r="F51" s="22" t="s">
        <v>9</v>
      </c>
      <c r="G51" s="13" t="s">
        <v>0</v>
      </c>
      <c r="H51" s="12" t="s">
        <v>187</v>
      </c>
      <c r="I51" s="11">
        <v>3000</v>
      </c>
      <c r="J51" s="10"/>
      <c r="K51" s="9">
        <v>3000</v>
      </c>
      <c r="L51" s="8">
        <f t="shared" si="0"/>
        <v>0</v>
      </c>
    </row>
    <row r="52" spans="1:12" ht="169.5" customHeight="1" thickBot="1" x14ac:dyDescent="0.3">
      <c r="A52" s="47"/>
      <c r="B52" s="24" t="s">
        <v>7</v>
      </c>
      <c r="C52" s="12" t="s">
        <v>6</v>
      </c>
      <c r="D52" s="12" t="s">
        <v>1</v>
      </c>
      <c r="E52" s="13" t="s">
        <v>5</v>
      </c>
      <c r="F52" s="22" t="s">
        <v>4</v>
      </c>
      <c r="G52" s="13" t="s">
        <v>0</v>
      </c>
      <c r="H52" s="12" t="s">
        <v>181</v>
      </c>
      <c r="I52" s="11">
        <v>2000</v>
      </c>
      <c r="J52" s="10">
        <v>1000</v>
      </c>
      <c r="K52" s="9">
        <v>1000</v>
      </c>
      <c r="L52" s="8">
        <f t="shared" si="0"/>
        <v>0</v>
      </c>
    </row>
    <row r="53" spans="1:12" ht="169.5" customHeight="1" thickBot="1" x14ac:dyDescent="0.3">
      <c r="A53" s="47"/>
      <c r="B53" s="24" t="s">
        <v>7</v>
      </c>
      <c r="C53" s="12" t="s">
        <v>6</v>
      </c>
      <c r="D53" s="12" t="s">
        <v>1</v>
      </c>
      <c r="E53" s="13" t="s">
        <v>5</v>
      </c>
      <c r="F53" s="22" t="s">
        <v>9</v>
      </c>
      <c r="G53" s="13" t="s">
        <v>0</v>
      </c>
      <c r="H53" s="12" t="s">
        <v>187</v>
      </c>
      <c r="I53" s="11">
        <v>5173</v>
      </c>
      <c r="J53" s="10"/>
      <c r="K53" s="9">
        <v>5173</v>
      </c>
      <c r="L53" s="8">
        <f t="shared" si="0"/>
        <v>0</v>
      </c>
    </row>
    <row r="54" spans="1:12" ht="169.5" customHeight="1" thickBot="1" x14ac:dyDescent="0.3">
      <c r="A54" s="48"/>
      <c r="B54" s="24" t="s">
        <v>194</v>
      </c>
      <c r="C54" s="12" t="s">
        <v>3</v>
      </c>
      <c r="D54" s="12" t="s">
        <v>1</v>
      </c>
      <c r="E54" s="13" t="s">
        <v>195</v>
      </c>
      <c r="F54" s="22" t="s">
        <v>122</v>
      </c>
      <c r="G54" s="13" t="s">
        <v>8</v>
      </c>
      <c r="H54" s="12" t="s">
        <v>181</v>
      </c>
      <c r="I54" s="11">
        <v>3000</v>
      </c>
      <c r="J54" s="10">
        <v>1000</v>
      </c>
      <c r="K54" s="9">
        <v>2000</v>
      </c>
      <c r="L54" s="8">
        <f t="shared" si="0"/>
        <v>0</v>
      </c>
    </row>
    <row r="111" spans="1:11" s="2" customFormat="1" x14ac:dyDescent="0.25">
      <c r="A111" s="7"/>
      <c r="B111" s="5"/>
      <c r="C111" s="7"/>
      <c r="D111" s="6"/>
      <c r="E111" s="5"/>
      <c r="F111" s="6"/>
      <c r="G111" s="5"/>
      <c r="H111" s="5"/>
      <c r="I111" s="5"/>
      <c r="J111" s="4"/>
      <c r="K111" s="3" t="s">
        <v>148</v>
      </c>
    </row>
  </sheetData>
  <autoFilter ref="A2:L54"/>
  <dataConsolidate/>
  <mergeCells count="5">
    <mergeCell ref="A1:L1"/>
    <mergeCell ref="A3:A18"/>
    <mergeCell ref="A19:A35"/>
    <mergeCell ref="A36:A42"/>
    <mergeCell ref="A43:A54"/>
  </mergeCells>
  <conditionalFormatting sqref="I2:I54 K3:L54">
    <cfRule type="cellIs" dxfId="158" priority="3" operator="lessThan">
      <formula>0</formula>
    </cfRule>
  </conditionalFormatting>
  <conditionalFormatting sqref="L2">
    <cfRule type="cellIs" dxfId="157" priority="2" operator="lessThan">
      <formula>0</formula>
    </cfRule>
  </conditionalFormatting>
  <printOptions horizontalCentered="1"/>
  <pageMargins left="0" right="0" top="0" bottom="0" header="0" footer="0"/>
  <pageSetup paperSize="9" scale="10" fitToHeight="0" orientation="portrait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10"/>
  <sheetViews>
    <sheetView showGridLines="0" view="pageBreakPreview" zoomScale="17" zoomScaleNormal="27" zoomScaleSheetLayoutView="17" workbookViewId="0">
      <selection activeCell="K9" sqref="K9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198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9.5" customHeight="1" thickBot="1" x14ac:dyDescent="0.3">
      <c r="A3" s="50" t="s">
        <v>41</v>
      </c>
      <c r="B3" s="13" t="s">
        <v>136</v>
      </c>
      <c r="C3" s="12" t="s">
        <v>3</v>
      </c>
      <c r="D3" s="12" t="s">
        <v>126</v>
      </c>
      <c r="E3" s="13" t="s">
        <v>153</v>
      </c>
      <c r="F3" s="22" t="s">
        <v>122</v>
      </c>
      <c r="G3" s="13" t="s">
        <v>0</v>
      </c>
      <c r="H3" s="12" t="s">
        <v>181</v>
      </c>
      <c r="I3" s="11">
        <v>10000</v>
      </c>
      <c r="J3" s="10">
        <v>2000</v>
      </c>
      <c r="K3" s="9">
        <f>2000+6000</f>
        <v>8000</v>
      </c>
      <c r="L3" s="8">
        <f t="shared" ref="L3:L53" si="0">K3+J3-I3</f>
        <v>0</v>
      </c>
    </row>
    <row r="4" spans="1:12" ht="169.5" customHeight="1" thickBot="1" x14ac:dyDescent="0.3">
      <c r="A4" s="50"/>
      <c r="B4" s="13" t="s">
        <v>28</v>
      </c>
      <c r="C4" s="12" t="s">
        <v>34</v>
      </c>
      <c r="D4" s="12" t="s">
        <v>24</v>
      </c>
      <c r="E4" s="13" t="s">
        <v>33</v>
      </c>
      <c r="F4" s="22" t="s">
        <v>4</v>
      </c>
      <c r="G4" s="13" t="s">
        <v>0</v>
      </c>
      <c r="H4" s="12" t="s">
        <v>187</v>
      </c>
      <c r="I4" s="11">
        <v>2987</v>
      </c>
      <c r="J4" s="10"/>
      <c r="K4" s="9">
        <f>1000+1987</f>
        <v>2987</v>
      </c>
      <c r="L4" s="8">
        <f t="shared" si="0"/>
        <v>0</v>
      </c>
    </row>
    <row r="5" spans="1:12" ht="169.5" customHeight="1" thickBot="1" x14ac:dyDescent="0.3">
      <c r="A5" s="50"/>
      <c r="B5" s="13" t="s">
        <v>40</v>
      </c>
      <c r="C5" s="12" t="s">
        <v>15</v>
      </c>
      <c r="D5" s="12" t="s">
        <v>24</v>
      </c>
      <c r="E5" s="13" t="s">
        <v>96</v>
      </c>
      <c r="F5" s="22" t="s">
        <v>4</v>
      </c>
      <c r="G5" s="13" t="s">
        <v>0</v>
      </c>
      <c r="H5" s="12" t="s">
        <v>187</v>
      </c>
      <c r="I5" s="11">
        <v>2000</v>
      </c>
      <c r="J5" s="10"/>
      <c r="K5" s="9">
        <v>2000</v>
      </c>
      <c r="L5" s="8">
        <f t="shared" si="0"/>
        <v>0</v>
      </c>
    </row>
    <row r="6" spans="1:12" ht="169.5" customHeight="1" thickBot="1" x14ac:dyDescent="0.3">
      <c r="A6" s="50"/>
      <c r="B6" s="13" t="s">
        <v>38</v>
      </c>
      <c r="C6" s="12" t="s">
        <v>27</v>
      </c>
      <c r="D6" s="12" t="s">
        <v>24</v>
      </c>
      <c r="E6" s="13" t="s">
        <v>197</v>
      </c>
      <c r="F6" s="22" t="s">
        <v>4</v>
      </c>
      <c r="G6" s="13" t="s">
        <v>0</v>
      </c>
      <c r="H6" s="12" t="s">
        <v>187</v>
      </c>
      <c r="I6" s="11">
        <v>1736</v>
      </c>
      <c r="J6" s="10"/>
      <c r="K6" s="9">
        <v>1736</v>
      </c>
      <c r="L6" s="8">
        <f t="shared" si="0"/>
        <v>0</v>
      </c>
    </row>
    <row r="7" spans="1:12" ht="169.5" customHeight="1" thickBot="1" x14ac:dyDescent="0.3">
      <c r="A7" s="50"/>
      <c r="B7" s="13" t="s">
        <v>38</v>
      </c>
      <c r="C7" s="12" t="s">
        <v>27</v>
      </c>
      <c r="D7" s="12" t="s">
        <v>24</v>
      </c>
      <c r="E7" s="13" t="s">
        <v>39</v>
      </c>
      <c r="F7" s="22" t="s">
        <v>4</v>
      </c>
      <c r="G7" s="13" t="s">
        <v>0</v>
      </c>
      <c r="H7" s="12" t="s">
        <v>187</v>
      </c>
      <c r="I7" s="11">
        <v>1940</v>
      </c>
      <c r="J7" s="10"/>
      <c r="K7" s="9">
        <v>1940</v>
      </c>
      <c r="L7" s="8">
        <f t="shared" si="0"/>
        <v>0</v>
      </c>
    </row>
    <row r="8" spans="1:12" ht="169.5" customHeight="1" thickBot="1" x14ac:dyDescent="0.3">
      <c r="A8" s="50"/>
      <c r="B8" s="13" t="s">
        <v>32</v>
      </c>
      <c r="C8" s="12" t="s">
        <v>31</v>
      </c>
      <c r="D8" s="12" t="s">
        <v>24</v>
      </c>
      <c r="E8" s="13" t="s">
        <v>78</v>
      </c>
      <c r="F8" s="22" t="s">
        <v>4</v>
      </c>
      <c r="G8" s="13" t="s">
        <v>0</v>
      </c>
      <c r="H8" s="12" t="s">
        <v>187</v>
      </c>
      <c r="I8" s="11">
        <v>1217</v>
      </c>
      <c r="J8" s="10"/>
      <c r="K8" s="9">
        <v>1217</v>
      </c>
      <c r="L8" s="8">
        <f t="shared" si="0"/>
        <v>0</v>
      </c>
    </row>
    <row r="9" spans="1:12" ht="169.5" customHeight="1" thickBot="1" x14ac:dyDescent="0.3">
      <c r="A9" s="50"/>
      <c r="B9" s="13" t="s">
        <v>32</v>
      </c>
      <c r="C9" s="12" t="s">
        <v>31</v>
      </c>
      <c r="D9" s="12" t="s">
        <v>24</v>
      </c>
      <c r="E9" s="13" t="s">
        <v>80</v>
      </c>
      <c r="F9" s="22" t="s">
        <v>9</v>
      </c>
      <c r="G9" s="13" t="s">
        <v>0</v>
      </c>
      <c r="H9" s="12" t="s">
        <v>187</v>
      </c>
      <c r="I9" s="11">
        <v>1500</v>
      </c>
      <c r="J9" s="10"/>
      <c r="K9" s="9">
        <v>1500</v>
      </c>
      <c r="L9" s="8">
        <f t="shared" si="0"/>
        <v>0</v>
      </c>
    </row>
    <row r="10" spans="1:12" ht="169.5" customHeight="1" thickBot="1" x14ac:dyDescent="0.3">
      <c r="A10" s="50"/>
      <c r="B10" s="13" t="s">
        <v>28</v>
      </c>
      <c r="C10" s="12" t="s">
        <v>155</v>
      </c>
      <c r="D10" s="12" t="s">
        <v>24</v>
      </c>
      <c r="E10" s="13" t="s">
        <v>156</v>
      </c>
      <c r="F10" s="22" t="s">
        <v>4</v>
      </c>
      <c r="G10" s="13" t="s">
        <v>0</v>
      </c>
      <c r="H10" s="12" t="s">
        <v>181</v>
      </c>
      <c r="I10" s="11">
        <v>1500</v>
      </c>
      <c r="J10" s="10"/>
      <c r="K10" s="9">
        <v>1500</v>
      </c>
      <c r="L10" s="8">
        <f t="shared" si="0"/>
        <v>0</v>
      </c>
    </row>
    <row r="11" spans="1:12" ht="169.5" customHeight="1" thickBot="1" x14ac:dyDescent="0.3">
      <c r="A11" s="50"/>
      <c r="B11" s="13" t="s">
        <v>28</v>
      </c>
      <c r="C11" s="12" t="s">
        <v>155</v>
      </c>
      <c r="D11" s="12" t="s">
        <v>24</v>
      </c>
      <c r="E11" s="13" t="s">
        <v>156</v>
      </c>
      <c r="F11" s="22" t="s">
        <v>4</v>
      </c>
      <c r="G11" s="13" t="s">
        <v>0</v>
      </c>
      <c r="H11" s="12" t="s">
        <v>187</v>
      </c>
      <c r="I11" s="11">
        <v>480</v>
      </c>
      <c r="J11" s="10"/>
      <c r="K11" s="9">
        <v>480</v>
      </c>
      <c r="L11" s="8">
        <f t="shared" si="0"/>
        <v>0</v>
      </c>
    </row>
    <row r="12" spans="1:12" ht="169.5" customHeight="1" thickBot="1" x14ac:dyDescent="0.3">
      <c r="A12" s="50" t="s">
        <v>36</v>
      </c>
      <c r="B12" s="13" t="s">
        <v>35</v>
      </c>
      <c r="C12" s="12" t="s">
        <v>155</v>
      </c>
      <c r="D12" s="12" t="s">
        <v>24</v>
      </c>
      <c r="E12" s="13" t="s">
        <v>156</v>
      </c>
      <c r="F12" s="22" t="s">
        <v>4</v>
      </c>
      <c r="G12" s="13" t="s">
        <v>0</v>
      </c>
      <c r="H12" s="12" t="s">
        <v>181</v>
      </c>
      <c r="I12" s="11">
        <v>1500</v>
      </c>
      <c r="J12" s="10">
        <v>1000</v>
      </c>
      <c r="K12" s="9">
        <v>500</v>
      </c>
      <c r="L12" s="8">
        <f t="shared" si="0"/>
        <v>0</v>
      </c>
    </row>
    <row r="13" spans="1:12" ht="169.5" customHeight="1" thickBot="1" x14ac:dyDescent="0.3">
      <c r="A13" s="50"/>
      <c r="B13" s="13" t="s">
        <v>35</v>
      </c>
      <c r="C13" s="12" t="s">
        <v>155</v>
      </c>
      <c r="D13" s="12" t="s">
        <v>24</v>
      </c>
      <c r="E13" s="13" t="s">
        <v>156</v>
      </c>
      <c r="F13" s="22" t="s">
        <v>4</v>
      </c>
      <c r="G13" s="13" t="s">
        <v>0</v>
      </c>
      <c r="H13" s="12" t="s">
        <v>187</v>
      </c>
      <c r="I13" s="11">
        <v>480</v>
      </c>
      <c r="J13" s="10"/>
      <c r="K13" s="9">
        <v>480</v>
      </c>
      <c r="L13" s="8">
        <f t="shared" si="0"/>
        <v>0</v>
      </c>
    </row>
    <row r="14" spans="1:12" ht="169.5" customHeight="1" thickBot="1" x14ac:dyDescent="0.3">
      <c r="A14" s="50"/>
      <c r="B14" s="13" t="s">
        <v>35</v>
      </c>
      <c r="C14" s="12" t="s">
        <v>34</v>
      </c>
      <c r="D14" s="12" t="s">
        <v>24</v>
      </c>
      <c r="E14" s="13" t="s">
        <v>33</v>
      </c>
      <c r="F14" s="22" t="s">
        <v>4</v>
      </c>
      <c r="G14" s="13" t="s">
        <v>0</v>
      </c>
      <c r="H14" s="12" t="s">
        <v>187</v>
      </c>
      <c r="I14" s="11">
        <v>2000</v>
      </c>
      <c r="J14" s="10"/>
      <c r="K14" s="9">
        <v>2000</v>
      </c>
      <c r="L14" s="8">
        <f t="shared" si="0"/>
        <v>0</v>
      </c>
    </row>
    <row r="15" spans="1:12" ht="169.5" customHeight="1" thickBot="1" x14ac:dyDescent="0.3">
      <c r="A15" s="50"/>
      <c r="B15" s="13" t="s">
        <v>32</v>
      </c>
      <c r="C15" s="12" t="s">
        <v>31</v>
      </c>
      <c r="D15" s="12" t="s">
        <v>24</v>
      </c>
      <c r="E15" s="13" t="s">
        <v>80</v>
      </c>
      <c r="F15" s="22" t="s">
        <v>9</v>
      </c>
      <c r="G15" s="13" t="s">
        <v>0</v>
      </c>
      <c r="H15" s="12" t="s">
        <v>181</v>
      </c>
      <c r="I15" s="11">
        <v>2000</v>
      </c>
      <c r="J15" s="10"/>
      <c r="K15" s="9">
        <v>2000</v>
      </c>
      <c r="L15" s="8">
        <f t="shared" si="0"/>
        <v>0</v>
      </c>
    </row>
    <row r="16" spans="1:12" ht="169.5" customHeight="1" thickBot="1" x14ac:dyDescent="0.3">
      <c r="A16" s="50"/>
      <c r="B16" s="13" t="s">
        <v>29</v>
      </c>
      <c r="C16" s="12" t="s">
        <v>31</v>
      </c>
      <c r="D16" s="12" t="s">
        <v>24</v>
      </c>
      <c r="E16" s="13" t="s">
        <v>78</v>
      </c>
      <c r="F16" s="22" t="s">
        <v>4</v>
      </c>
      <c r="G16" s="13" t="s">
        <v>0</v>
      </c>
      <c r="H16" s="12" t="s">
        <v>187</v>
      </c>
      <c r="I16" s="11">
        <v>2000</v>
      </c>
      <c r="J16" s="10"/>
      <c r="K16" s="9">
        <v>2000</v>
      </c>
      <c r="L16" s="8">
        <f t="shared" si="0"/>
        <v>0</v>
      </c>
    </row>
    <row r="17" spans="1:12" ht="169.5" customHeight="1" thickBot="1" x14ac:dyDescent="0.3">
      <c r="A17" s="50"/>
      <c r="B17" s="13" t="s">
        <v>40</v>
      </c>
      <c r="C17" s="12" t="s">
        <v>27</v>
      </c>
      <c r="D17" s="12" t="s">
        <v>24</v>
      </c>
      <c r="E17" s="13" t="s">
        <v>39</v>
      </c>
      <c r="F17" s="22" t="s">
        <v>4</v>
      </c>
      <c r="G17" s="13" t="s">
        <v>0</v>
      </c>
      <c r="H17" s="12" t="s">
        <v>187</v>
      </c>
      <c r="I17" s="11">
        <v>1000</v>
      </c>
      <c r="J17" s="10"/>
      <c r="K17" s="9">
        <v>1000</v>
      </c>
      <c r="L17" s="8">
        <f t="shared" si="0"/>
        <v>0</v>
      </c>
    </row>
    <row r="18" spans="1:12" ht="169.5" customHeight="1" thickBot="1" x14ac:dyDescent="0.3">
      <c r="A18" s="50"/>
      <c r="B18" s="13" t="s">
        <v>40</v>
      </c>
      <c r="C18" s="12" t="s">
        <v>15</v>
      </c>
      <c r="D18" s="12" t="s">
        <v>24</v>
      </c>
      <c r="E18" s="13" t="s">
        <v>96</v>
      </c>
      <c r="F18" s="22" t="s">
        <v>4</v>
      </c>
      <c r="G18" s="13" t="s">
        <v>0</v>
      </c>
      <c r="H18" s="12" t="s">
        <v>187</v>
      </c>
      <c r="I18" s="11">
        <v>1500</v>
      </c>
      <c r="J18" s="10"/>
      <c r="K18" s="9">
        <v>1500</v>
      </c>
      <c r="L18" s="8">
        <f t="shared" si="0"/>
        <v>0</v>
      </c>
    </row>
    <row r="19" spans="1:12" ht="169.5" customHeight="1" thickBot="1" x14ac:dyDescent="0.3">
      <c r="A19" s="50"/>
      <c r="B19" s="13" t="s">
        <v>77</v>
      </c>
      <c r="C19" s="12" t="s">
        <v>27</v>
      </c>
      <c r="D19" s="12" t="s">
        <v>24</v>
      </c>
      <c r="E19" s="13" t="s">
        <v>197</v>
      </c>
      <c r="F19" s="22" t="s">
        <v>4</v>
      </c>
      <c r="G19" s="13" t="s">
        <v>0</v>
      </c>
      <c r="H19" s="12" t="s">
        <v>187</v>
      </c>
      <c r="I19" s="11">
        <v>1736</v>
      </c>
      <c r="J19" s="10"/>
      <c r="K19" s="9">
        <v>1736</v>
      </c>
      <c r="L19" s="8">
        <f t="shared" si="0"/>
        <v>0</v>
      </c>
    </row>
    <row r="20" spans="1:12" ht="169.5" customHeight="1" thickBot="1" x14ac:dyDescent="0.3">
      <c r="A20" s="50"/>
      <c r="B20" s="13" t="s">
        <v>77</v>
      </c>
      <c r="C20" s="12" t="s">
        <v>27</v>
      </c>
      <c r="D20" s="12" t="s">
        <v>24</v>
      </c>
      <c r="E20" s="13" t="s">
        <v>76</v>
      </c>
      <c r="F20" s="22" t="s">
        <v>4</v>
      </c>
      <c r="G20" s="13" t="s">
        <v>0</v>
      </c>
      <c r="H20" s="12" t="s">
        <v>187</v>
      </c>
      <c r="I20" s="11">
        <v>1350</v>
      </c>
      <c r="J20" s="10"/>
      <c r="K20" s="9">
        <v>1350</v>
      </c>
      <c r="L20" s="8">
        <f t="shared" si="0"/>
        <v>0</v>
      </c>
    </row>
    <row r="21" spans="1:12" ht="169.5" customHeight="1" thickBot="1" x14ac:dyDescent="0.3">
      <c r="A21" s="50"/>
      <c r="B21" s="13" t="s">
        <v>112</v>
      </c>
      <c r="C21" s="12" t="s">
        <v>113</v>
      </c>
      <c r="D21" s="12" t="s">
        <v>24</v>
      </c>
      <c r="E21" s="13" t="s">
        <v>115</v>
      </c>
      <c r="F21" s="22" t="s">
        <v>9</v>
      </c>
      <c r="G21" s="13" t="s">
        <v>0</v>
      </c>
      <c r="H21" s="12" t="s">
        <v>181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69.5" customHeight="1" thickBot="1" x14ac:dyDescent="0.3">
      <c r="A22" s="50" t="s">
        <v>23</v>
      </c>
      <c r="B22" s="13" t="s">
        <v>12</v>
      </c>
      <c r="C22" s="12" t="s">
        <v>6</v>
      </c>
      <c r="D22" s="12" t="s">
        <v>20</v>
      </c>
      <c r="E22" s="13" t="s">
        <v>22</v>
      </c>
      <c r="F22" s="22" t="s">
        <v>4</v>
      </c>
      <c r="G22" s="13" t="s">
        <v>0</v>
      </c>
      <c r="H22" s="12" t="s">
        <v>187</v>
      </c>
      <c r="I22" s="11">
        <v>3627</v>
      </c>
      <c r="J22" s="10">
        <v>1000</v>
      </c>
      <c r="K22" s="9">
        <v>2627</v>
      </c>
      <c r="L22" s="8">
        <f t="shared" si="0"/>
        <v>0</v>
      </c>
    </row>
    <row r="23" spans="1:12" ht="169.5" customHeight="1" thickBot="1" x14ac:dyDescent="0.3">
      <c r="A23" s="50"/>
      <c r="B23" s="24" t="s">
        <v>21</v>
      </c>
      <c r="C23" s="12" t="s">
        <v>118</v>
      </c>
      <c r="D23" s="12" t="s">
        <v>20</v>
      </c>
      <c r="E23" s="13" t="s">
        <v>119</v>
      </c>
      <c r="F23" s="22" t="s">
        <v>4</v>
      </c>
      <c r="G23" s="13" t="s">
        <v>0</v>
      </c>
      <c r="H23" s="12" t="s">
        <v>187</v>
      </c>
      <c r="I23" s="11">
        <v>2187</v>
      </c>
      <c r="J23" s="10">
        <v>1000</v>
      </c>
      <c r="K23" s="9">
        <v>1187</v>
      </c>
      <c r="L23" s="8">
        <f t="shared" si="0"/>
        <v>0</v>
      </c>
    </row>
    <row r="24" spans="1:12" ht="169.5" customHeight="1" thickBot="1" x14ac:dyDescent="0.3">
      <c r="A24" s="50"/>
      <c r="B24" s="24" t="s">
        <v>21</v>
      </c>
      <c r="C24" s="12" t="s">
        <v>3</v>
      </c>
      <c r="D24" s="12" t="s">
        <v>20</v>
      </c>
      <c r="E24" s="13" t="s">
        <v>56</v>
      </c>
      <c r="F24" s="22" t="s">
        <v>9</v>
      </c>
      <c r="G24" s="13" t="s">
        <v>0</v>
      </c>
      <c r="H24" s="12" t="s">
        <v>181</v>
      </c>
      <c r="I24" s="11">
        <v>4000</v>
      </c>
      <c r="J24" s="10"/>
      <c r="K24" s="9">
        <v>4000</v>
      </c>
      <c r="L24" s="8">
        <f t="shared" si="0"/>
        <v>0</v>
      </c>
    </row>
    <row r="25" spans="1:12" ht="169.5" customHeight="1" thickBot="1" x14ac:dyDescent="0.3">
      <c r="A25" s="50"/>
      <c r="B25" s="24" t="s">
        <v>21</v>
      </c>
      <c r="C25" s="12" t="s">
        <v>3</v>
      </c>
      <c r="D25" s="12" t="s">
        <v>20</v>
      </c>
      <c r="E25" s="13" t="s">
        <v>57</v>
      </c>
      <c r="F25" s="22" t="s">
        <v>9</v>
      </c>
      <c r="G25" s="13" t="s">
        <v>0</v>
      </c>
      <c r="H25" s="12" t="s">
        <v>181</v>
      </c>
      <c r="I25" s="11">
        <v>9000</v>
      </c>
      <c r="J25" s="10">
        <v>2000</v>
      </c>
      <c r="K25" s="9">
        <v>7000</v>
      </c>
      <c r="L25" s="8">
        <f t="shared" si="0"/>
        <v>0</v>
      </c>
    </row>
    <row r="26" spans="1:12" ht="169.5" customHeight="1" thickBot="1" x14ac:dyDescent="0.3">
      <c r="A26" s="50" t="s">
        <v>54</v>
      </c>
      <c r="B26" s="24" t="s">
        <v>104</v>
      </c>
      <c r="C26" s="12" t="s">
        <v>188</v>
      </c>
      <c r="D26" s="12" t="s">
        <v>60</v>
      </c>
      <c r="E26" s="13" t="s">
        <v>199</v>
      </c>
      <c r="F26" s="22" t="s">
        <v>64</v>
      </c>
      <c r="G26" s="13" t="s">
        <v>37</v>
      </c>
      <c r="H26" s="12" t="s">
        <v>187</v>
      </c>
      <c r="I26" s="11">
        <v>169</v>
      </c>
      <c r="J26" s="10"/>
      <c r="K26" s="9">
        <v>169</v>
      </c>
      <c r="L26" s="8">
        <f t="shared" si="0"/>
        <v>0</v>
      </c>
    </row>
    <row r="27" spans="1:12" ht="169.5" customHeight="1" thickBot="1" x14ac:dyDescent="0.3">
      <c r="A27" s="50"/>
      <c r="B27" s="24" t="s">
        <v>104</v>
      </c>
      <c r="C27" s="12" t="s">
        <v>188</v>
      </c>
      <c r="D27" s="12" t="s">
        <v>60</v>
      </c>
      <c r="E27" s="13" t="s">
        <v>200</v>
      </c>
      <c r="F27" s="22" t="s">
        <v>64</v>
      </c>
      <c r="G27" s="13" t="s">
        <v>37</v>
      </c>
      <c r="H27" s="12" t="s">
        <v>187</v>
      </c>
      <c r="I27" s="11">
        <v>3</v>
      </c>
      <c r="J27" s="10"/>
      <c r="K27" s="9">
        <v>3</v>
      </c>
      <c r="L27" s="8">
        <f t="shared" si="0"/>
        <v>0</v>
      </c>
    </row>
    <row r="28" spans="1:12" ht="169.5" customHeight="1" thickBot="1" x14ac:dyDescent="0.3">
      <c r="A28" s="50"/>
      <c r="B28" s="24" t="s">
        <v>104</v>
      </c>
      <c r="C28" s="12" t="s">
        <v>188</v>
      </c>
      <c r="D28" s="12" t="s">
        <v>60</v>
      </c>
      <c r="E28" s="13" t="s">
        <v>201</v>
      </c>
      <c r="F28" s="22" t="s">
        <v>64</v>
      </c>
      <c r="G28" s="13" t="s">
        <v>37</v>
      </c>
      <c r="H28" s="12" t="s">
        <v>187</v>
      </c>
      <c r="I28" s="11">
        <v>22</v>
      </c>
      <c r="J28" s="10"/>
      <c r="K28" s="9">
        <v>22</v>
      </c>
      <c r="L28" s="8">
        <f t="shared" si="0"/>
        <v>0</v>
      </c>
    </row>
    <row r="29" spans="1:12" ht="169.5" customHeight="1" thickBot="1" x14ac:dyDescent="0.3">
      <c r="A29" s="50"/>
      <c r="B29" s="24" t="s">
        <v>104</v>
      </c>
      <c r="C29" s="12" t="s">
        <v>188</v>
      </c>
      <c r="D29" s="12" t="s">
        <v>60</v>
      </c>
      <c r="E29" s="13" t="s">
        <v>202</v>
      </c>
      <c r="F29" s="22" t="s">
        <v>64</v>
      </c>
      <c r="G29" s="13" t="s">
        <v>37</v>
      </c>
      <c r="H29" s="12" t="s">
        <v>187</v>
      </c>
      <c r="I29" s="11">
        <v>2</v>
      </c>
      <c r="J29" s="10"/>
      <c r="K29" s="9">
        <v>2</v>
      </c>
      <c r="L29" s="8">
        <f t="shared" si="0"/>
        <v>0</v>
      </c>
    </row>
    <row r="30" spans="1:12" ht="169.5" customHeight="1" thickBot="1" x14ac:dyDescent="0.3">
      <c r="A30" s="50"/>
      <c r="B30" s="24" t="s">
        <v>104</v>
      </c>
      <c r="C30" s="12" t="s">
        <v>188</v>
      </c>
      <c r="D30" s="12" t="s">
        <v>60</v>
      </c>
      <c r="E30" s="13" t="s">
        <v>203</v>
      </c>
      <c r="F30" s="22" t="s">
        <v>64</v>
      </c>
      <c r="G30" s="13" t="s">
        <v>37</v>
      </c>
      <c r="H30" s="12" t="s">
        <v>187</v>
      </c>
      <c r="I30" s="11">
        <v>10</v>
      </c>
      <c r="J30" s="10"/>
      <c r="K30" s="9">
        <v>10</v>
      </c>
      <c r="L30" s="8">
        <f t="shared" si="0"/>
        <v>0</v>
      </c>
    </row>
    <row r="31" spans="1:12" ht="169.5" customHeight="1" thickBot="1" x14ac:dyDescent="0.3">
      <c r="A31" s="50"/>
      <c r="B31" s="24" t="s">
        <v>104</v>
      </c>
      <c r="C31" s="12" t="s">
        <v>188</v>
      </c>
      <c r="D31" s="12" t="s">
        <v>60</v>
      </c>
      <c r="E31" s="13" t="s">
        <v>204</v>
      </c>
      <c r="F31" s="22" t="s">
        <v>64</v>
      </c>
      <c r="G31" s="13" t="s">
        <v>37</v>
      </c>
      <c r="H31" s="12" t="s">
        <v>187</v>
      </c>
      <c r="I31" s="11">
        <v>101</v>
      </c>
      <c r="J31" s="10"/>
      <c r="K31" s="9">
        <v>101</v>
      </c>
      <c r="L31" s="8">
        <f t="shared" si="0"/>
        <v>0</v>
      </c>
    </row>
    <row r="32" spans="1:12" ht="169.5" customHeight="1" thickBot="1" x14ac:dyDescent="0.3">
      <c r="A32" s="50"/>
      <c r="B32" s="24" t="s">
        <v>104</v>
      </c>
      <c r="C32" s="12" t="s">
        <v>188</v>
      </c>
      <c r="D32" s="12" t="s">
        <v>60</v>
      </c>
      <c r="E32" s="13" t="s">
        <v>205</v>
      </c>
      <c r="F32" s="22" t="s">
        <v>64</v>
      </c>
      <c r="G32" s="13" t="s">
        <v>37</v>
      </c>
      <c r="H32" s="12" t="s">
        <v>187</v>
      </c>
      <c r="I32" s="11">
        <v>168</v>
      </c>
      <c r="J32" s="10"/>
      <c r="K32" s="9">
        <v>168</v>
      </c>
      <c r="L32" s="8">
        <f t="shared" si="0"/>
        <v>0</v>
      </c>
    </row>
    <row r="33" spans="1:12" ht="169.5" customHeight="1" thickBot="1" x14ac:dyDescent="0.3">
      <c r="A33" s="50"/>
      <c r="B33" s="24" t="s">
        <v>104</v>
      </c>
      <c r="C33" s="12" t="s">
        <v>188</v>
      </c>
      <c r="D33" s="12" t="s">
        <v>60</v>
      </c>
      <c r="E33" s="13" t="s">
        <v>206</v>
      </c>
      <c r="F33" s="22" t="s">
        <v>64</v>
      </c>
      <c r="G33" s="13" t="s">
        <v>37</v>
      </c>
      <c r="H33" s="12" t="s">
        <v>187</v>
      </c>
      <c r="I33" s="11">
        <v>6</v>
      </c>
      <c r="J33" s="10"/>
      <c r="K33" s="9">
        <v>6</v>
      </c>
      <c r="L33" s="8">
        <f t="shared" si="0"/>
        <v>0</v>
      </c>
    </row>
    <row r="34" spans="1:12" ht="169.5" customHeight="1" thickBot="1" x14ac:dyDescent="0.3">
      <c r="A34" s="50"/>
      <c r="B34" s="24" t="s">
        <v>104</v>
      </c>
      <c r="C34" s="12" t="s">
        <v>31</v>
      </c>
      <c r="D34" s="12" t="s">
        <v>60</v>
      </c>
      <c r="E34" s="13" t="s">
        <v>207</v>
      </c>
      <c r="F34" s="22" t="s">
        <v>64</v>
      </c>
      <c r="G34" s="13" t="s">
        <v>37</v>
      </c>
      <c r="H34" s="12" t="s">
        <v>187</v>
      </c>
      <c r="I34" s="11">
        <v>481</v>
      </c>
      <c r="J34" s="10">
        <v>481</v>
      </c>
      <c r="K34" s="9"/>
      <c r="L34" s="8">
        <f t="shared" si="0"/>
        <v>0</v>
      </c>
    </row>
    <row r="35" spans="1:12" ht="169.5" customHeight="1" thickBot="1" x14ac:dyDescent="0.3">
      <c r="A35" s="50"/>
      <c r="B35" s="24" t="s">
        <v>104</v>
      </c>
      <c r="C35" s="12" t="s">
        <v>31</v>
      </c>
      <c r="D35" s="12" t="s">
        <v>60</v>
      </c>
      <c r="E35" s="13" t="s">
        <v>208</v>
      </c>
      <c r="F35" s="22" t="s">
        <v>64</v>
      </c>
      <c r="G35" s="13" t="s">
        <v>37</v>
      </c>
      <c r="H35" s="12" t="s">
        <v>187</v>
      </c>
      <c r="I35" s="11">
        <v>147</v>
      </c>
      <c r="J35" s="10"/>
      <c r="K35" s="9">
        <v>147</v>
      </c>
      <c r="L35" s="8">
        <f t="shared" si="0"/>
        <v>0</v>
      </c>
    </row>
    <row r="36" spans="1:12" ht="169.5" customHeight="1" thickBot="1" x14ac:dyDescent="0.3">
      <c r="A36" s="50"/>
      <c r="B36" s="24" t="s">
        <v>104</v>
      </c>
      <c r="C36" s="12" t="s">
        <v>31</v>
      </c>
      <c r="D36" s="12" t="s">
        <v>60</v>
      </c>
      <c r="E36" s="13" t="s">
        <v>209</v>
      </c>
      <c r="F36" s="22" t="s">
        <v>64</v>
      </c>
      <c r="G36" s="13" t="s">
        <v>37</v>
      </c>
      <c r="H36" s="12" t="s">
        <v>187</v>
      </c>
      <c r="I36" s="11">
        <v>17</v>
      </c>
      <c r="J36" s="10"/>
      <c r="K36" s="9">
        <v>17</v>
      </c>
      <c r="L36" s="8">
        <f t="shared" si="0"/>
        <v>0</v>
      </c>
    </row>
    <row r="37" spans="1:12" ht="169.5" customHeight="1" thickBot="1" x14ac:dyDescent="0.3">
      <c r="A37" s="50"/>
      <c r="B37" s="24" t="s">
        <v>104</v>
      </c>
      <c r="C37" s="12" t="s">
        <v>31</v>
      </c>
      <c r="D37" s="12" t="s">
        <v>60</v>
      </c>
      <c r="E37" s="13" t="s">
        <v>210</v>
      </c>
      <c r="F37" s="22" t="s">
        <v>64</v>
      </c>
      <c r="G37" s="13" t="s">
        <v>37</v>
      </c>
      <c r="H37" s="12" t="s">
        <v>187</v>
      </c>
      <c r="I37" s="11">
        <v>28</v>
      </c>
      <c r="J37" s="10"/>
      <c r="K37" s="9">
        <v>28</v>
      </c>
      <c r="L37" s="8">
        <f t="shared" si="0"/>
        <v>0</v>
      </c>
    </row>
    <row r="38" spans="1:12" ht="169.5" customHeight="1" thickBot="1" x14ac:dyDescent="0.3">
      <c r="A38" s="50"/>
      <c r="B38" s="24" t="s">
        <v>104</v>
      </c>
      <c r="C38" s="12" t="s">
        <v>211</v>
      </c>
      <c r="D38" s="12" t="s">
        <v>60</v>
      </c>
      <c r="E38" s="13" t="s">
        <v>212</v>
      </c>
      <c r="F38" s="22" t="s">
        <v>64</v>
      </c>
      <c r="G38" s="13" t="s">
        <v>37</v>
      </c>
      <c r="H38" s="12" t="s">
        <v>187</v>
      </c>
      <c r="I38" s="11">
        <v>6</v>
      </c>
      <c r="J38" s="10"/>
      <c r="K38" s="9">
        <v>6</v>
      </c>
      <c r="L38" s="8">
        <f t="shared" si="0"/>
        <v>0</v>
      </c>
    </row>
    <row r="39" spans="1:12" ht="169.5" customHeight="1" thickBot="1" x14ac:dyDescent="0.3">
      <c r="A39" s="50"/>
      <c r="B39" s="24" t="s">
        <v>104</v>
      </c>
      <c r="C39" s="12" t="s">
        <v>211</v>
      </c>
      <c r="D39" s="12" t="s">
        <v>60</v>
      </c>
      <c r="E39" s="13" t="s">
        <v>213</v>
      </c>
      <c r="F39" s="22" t="s">
        <v>64</v>
      </c>
      <c r="G39" s="13" t="s">
        <v>37</v>
      </c>
      <c r="H39" s="12" t="s">
        <v>187</v>
      </c>
      <c r="I39" s="11">
        <v>12</v>
      </c>
      <c r="J39" s="10"/>
      <c r="K39" s="9">
        <v>12</v>
      </c>
      <c r="L39" s="8">
        <f t="shared" si="0"/>
        <v>0</v>
      </c>
    </row>
    <row r="40" spans="1:12" ht="169.5" customHeight="1" thickBot="1" x14ac:dyDescent="0.3">
      <c r="A40" s="50"/>
      <c r="B40" s="24" t="s">
        <v>104</v>
      </c>
      <c r="C40" s="12" t="s">
        <v>211</v>
      </c>
      <c r="D40" s="12" t="s">
        <v>60</v>
      </c>
      <c r="E40" s="13" t="s">
        <v>214</v>
      </c>
      <c r="F40" s="22" t="s">
        <v>64</v>
      </c>
      <c r="G40" s="13" t="s">
        <v>37</v>
      </c>
      <c r="H40" s="12" t="s">
        <v>187</v>
      </c>
      <c r="I40" s="11">
        <v>5</v>
      </c>
      <c r="J40" s="10"/>
      <c r="K40" s="9">
        <v>5</v>
      </c>
      <c r="L40" s="8">
        <f t="shared" si="0"/>
        <v>0</v>
      </c>
    </row>
    <row r="41" spans="1:12" ht="169.5" customHeight="1" thickBot="1" x14ac:dyDescent="0.3">
      <c r="A41" s="50" t="s">
        <v>19</v>
      </c>
      <c r="B41" s="24" t="s">
        <v>7</v>
      </c>
      <c r="C41" s="12" t="s">
        <v>17</v>
      </c>
      <c r="D41" s="12" t="s">
        <v>120</v>
      </c>
      <c r="E41" s="13" t="s">
        <v>121</v>
      </c>
      <c r="F41" s="22" t="s">
        <v>122</v>
      </c>
      <c r="G41" s="13" t="s">
        <v>0</v>
      </c>
      <c r="H41" s="12" t="s">
        <v>187</v>
      </c>
      <c r="I41" s="11">
        <v>3500</v>
      </c>
      <c r="J41" s="10">
        <v>1000</v>
      </c>
      <c r="K41" s="9">
        <v>2500</v>
      </c>
      <c r="L41" s="8">
        <f t="shared" si="0"/>
        <v>0</v>
      </c>
    </row>
    <row r="42" spans="1:12" ht="169.5" customHeight="1" thickBot="1" x14ac:dyDescent="0.3">
      <c r="A42" s="50"/>
      <c r="B42" s="24" t="s">
        <v>7</v>
      </c>
      <c r="C42" s="12" t="s">
        <v>15</v>
      </c>
      <c r="D42" s="12" t="s">
        <v>14</v>
      </c>
      <c r="E42" s="13" t="s">
        <v>65</v>
      </c>
      <c r="F42" s="22" t="s">
        <v>4</v>
      </c>
      <c r="G42" s="13" t="s">
        <v>0</v>
      </c>
      <c r="H42" s="12" t="s">
        <v>187</v>
      </c>
      <c r="I42" s="11">
        <v>3732</v>
      </c>
      <c r="J42" s="10"/>
      <c r="K42" s="9">
        <v>3732</v>
      </c>
      <c r="L42" s="8">
        <f t="shared" si="0"/>
        <v>0</v>
      </c>
    </row>
    <row r="43" spans="1:12" ht="169.5" customHeight="1" thickBot="1" x14ac:dyDescent="0.3">
      <c r="A43" s="50"/>
      <c r="B43" s="24" t="s">
        <v>7</v>
      </c>
      <c r="C43" s="12" t="s">
        <v>15</v>
      </c>
      <c r="D43" s="12" t="s">
        <v>14</v>
      </c>
      <c r="E43" s="13" t="s">
        <v>13</v>
      </c>
      <c r="F43" s="25" t="s">
        <v>4</v>
      </c>
      <c r="G43" s="13" t="s">
        <v>0</v>
      </c>
      <c r="H43" s="12" t="s">
        <v>187</v>
      </c>
      <c r="I43" s="11">
        <v>1320</v>
      </c>
      <c r="J43" s="10"/>
      <c r="K43" s="9">
        <v>1320</v>
      </c>
      <c r="L43" s="8">
        <f t="shared" si="0"/>
        <v>0</v>
      </c>
    </row>
    <row r="44" spans="1:12" ht="169.5" customHeight="1" thickBot="1" x14ac:dyDescent="0.3">
      <c r="A44" s="50"/>
      <c r="B44" s="24" t="s">
        <v>12</v>
      </c>
      <c r="C44" s="12" t="s">
        <v>118</v>
      </c>
      <c r="D44" s="12" t="s">
        <v>123</v>
      </c>
      <c r="E44" s="13" t="s">
        <v>124</v>
      </c>
      <c r="F44" s="22" t="s">
        <v>9</v>
      </c>
      <c r="G44" s="13" t="s">
        <v>0</v>
      </c>
      <c r="H44" s="12" t="s">
        <v>215</v>
      </c>
      <c r="I44" s="11">
        <v>2500</v>
      </c>
      <c r="J44" s="10"/>
      <c r="K44" s="9">
        <v>2500</v>
      </c>
      <c r="L44" s="8">
        <f t="shared" si="0"/>
        <v>0</v>
      </c>
    </row>
    <row r="45" spans="1:12" ht="169.5" customHeight="1" thickBot="1" x14ac:dyDescent="0.3">
      <c r="A45" s="50"/>
      <c r="B45" s="24" t="s">
        <v>21</v>
      </c>
      <c r="C45" s="12" t="s">
        <v>3</v>
      </c>
      <c r="D45" s="12" t="s">
        <v>20</v>
      </c>
      <c r="E45" s="23" t="s">
        <v>56</v>
      </c>
      <c r="F45" s="22" t="s">
        <v>9</v>
      </c>
      <c r="G45" s="13" t="s">
        <v>0</v>
      </c>
      <c r="H45" s="12" t="s">
        <v>187</v>
      </c>
      <c r="I45" s="11">
        <v>5000</v>
      </c>
      <c r="J45" s="10"/>
      <c r="K45" s="9">
        <v>5000</v>
      </c>
      <c r="L45" s="8">
        <f t="shared" si="0"/>
        <v>0</v>
      </c>
    </row>
    <row r="46" spans="1:12" ht="169.5" customHeight="1" thickBot="1" x14ac:dyDescent="0.3">
      <c r="A46" s="50"/>
      <c r="B46" s="24" t="s">
        <v>21</v>
      </c>
      <c r="C46" s="12" t="s">
        <v>3</v>
      </c>
      <c r="D46" s="12" t="s">
        <v>20</v>
      </c>
      <c r="E46" s="23" t="s">
        <v>57</v>
      </c>
      <c r="F46" s="22" t="s">
        <v>9</v>
      </c>
      <c r="G46" s="13" t="s">
        <v>0</v>
      </c>
      <c r="H46" s="12" t="s">
        <v>187</v>
      </c>
      <c r="I46" s="11">
        <v>5000</v>
      </c>
      <c r="J46" s="10"/>
      <c r="K46" s="9">
        <v>5000</v>
      </c>
      <c r="L46" s="8">
        <f t="shared" si="0"/>
        <v>0</v>
      </c>
    </row>
    <row r="47" spans="1:12" ht="169.5" customHeight="1" thickBot="1" x14ac:dyDescent="0.3">
      <c r="A47" s="50"/>
      <c r="B47" s="24" t="s">
        <v>7</v>
      </c>
      <c r="C47" s="12" t="s">
        <v>15</v>
      </c>
      <c r="D47" s="12" t="s">
        <v>14</v>
      </c>
      <c r="E47" s="23" t="s">
        <v>65</v>
      </c>
      <c r="F47" s="22" t="s">
        <v>4</v>
      </c>
      <c r="G47" s="13" t="s">
        <v>0</v>
      </c>
      <c r="H47" s="12" t="s">
        <v>187</v>
      </c>
      <c r="I47" s="11">
        <v>1000</v>
      </c>
      <c r="J47" s="10"/>
      <c r="K47" s="9">
        <v>1000</v>
      </c>
      <c r="L47" s="8">
        <f t="shared" si="0"/>
        <v>0</v>
      </c>
    </row>
    <row r="48" spans="1:12" ht="169.5" customHeight="1" thickBot="1" x14ac:dyDescent="0.3">
      <c r="A48" s="50"/>
      <c r="B48" s="24" t="s">
        <v>194</v>
      </c>
      <c r="C48" s="12" t="s">
        <v>118</v>
      </c>
      <c r="D48" s="12" t="s">
        <v>1</v>
      </c>
      <c r="E48" s="23" t="s">
        <v>216</v>
      </c>
      <c r="F48" s="22" t="s">
        <v>122</v>
      </c>
      <c r="G48" s="13" t="s">
        <v>0</v>
      </c>
      <c r="H48" s="12" t="s">
        <v>181</v>
      </c>
      <c r="I48" s="11">
        <v>7000</v>
      </c>
      <c r="J48" s="10"/>
      <c r="K48" s="9">
        <v>7000</v>
      </c>
      <c r="L48" s="8">
        <f t="shared" si="0"/>
        <v>0</v>
      </c>
    </row>
    <row r="49" spans="1:12" ht="169.5" customHeight="1" thickBot="1" x14ac:dyDescent="0.3">
      <c r="A49" s="50"/>
      <c r="B49" s="24" t="s">
        <v>12</v>
      </c>
      <c r="C49" s="12" t="s">
        <v>3</v>
      </c>
      <c r="D49" s="12" t="s">
        <v>11</v>
      </c>
      <c r="E49" s="13" t="s">
        <v>10</v>
      </c>
      <c r="F49" s="22" t="s">
        <v>4</v>
      </c>
      <c r="G49" s="13" t="s">
        <v>8</v>
      </c>
      <c r="H49" s="12" t="s">
        <v>187</v>
      </c>
      <c r="I49" s="11">
        <v>5</v>
      </c>
      <c r="J49" s="10"/>
      <c r="K49" s="9">
        <v>5</v>
      </c>
      <c r="L49" s="8">
        <f t="shared" si="0"/>
        <v>0</v>
      </c>
    </row>
    <row r="50" spans="1:12" ht="169.5" customHeight="1" thickBot="1" x14ac:dyDescent="0.3">
      <c r="A50" s="50"/>
      <c r="B50" s="24" t="s">
        <v>12</v>
      </c>
      <c r="C50" s="12" t="s">
        <v>3</v>
      </c>
      <c r="D50" s="12" t="s">
        <v>11</v>
      </c>
      <c r="E50" s="13" t="s">
        <v>10</v>
      </c>
      <c r="F50" s="22" t="s">
        <v>9</v>
      </c>
      <c r="G50" s="13" t="s">
        <v>0</v>
      </c>
      <c r="H50" s="12" t="s">
        <v>187</v>
      </c>
      <c r="I50" s="11">
        <v>12000</v>
      </c>
      <c r="J50" s="10">
        <v>2000</v>
      </c>
      <c r="K50" s="9">
        <v>10000</v>
      </c>
      <c r="L50" s="8">
        <f t="shared" si="0"/>
        <v>0</v>
      </c>
    </row>
    <row r="51" spans="1:12" ht="169.5" customHeight="1" thickBot="1" x14ac:dyDescent="0.3">
      <c r="A51" s="50"/>
      <c r="B51" s="24" t="s">
        <v>7</v>
      </c>
      <c r="C51" s="12" t="s">
        <v>6</v>
      </c>
      <c r="D51" s="12" t="s">
        <v>1</v>
      </c>
      <c r="E51" s="13" t="s">
        <v>5</v>
      </c>
      <c r="F51" s="22" t="s">
        <v>4</v>
      </c>
      <c r="G51" s="13" t="s">
        <v>0</v>
      </c>
      <c r="H51" s="12" t="s">
        <v>187</v>
      </c>
      <c r="I51" s="11">
        <v>8502</v>
      </c>
      <c r="J51" s="10">
        <v>2000</v>
      </c>
      <c r="K51" s="9">
        <v>6502</v>
      </c>
      <c r="L51" s="8">
        <f t="shared" si="0"/>
        <v>0</v>
      </c>
    </row>
    <row r="52" spans="1:12" ht="169.5" customHeight="1" thickBot="1" x14ac:dyDescent="0.3">
      <c r="A52" s="50"/>
      <c r="B52" s="24" t="s">
        <v>194</v>
      </c>
      <c r="C52" s="12" t="s">
        <v>3</v>
      </c>
      <c r="D52" s="12" t="s">
        <v>1</v>
      </c>
      <c r="E52" s="13" t="s">
        <v>195</v>
      </c>
      <c r="F52" s="22" t="s">
        <v>122</v>
      </c>
      <c r="G52" s="13" t="s">
        <v>0</v>
      </c>
      <c r="H52" s="12" t="s">
        <v>181</v>
      </c>
      <c r="I52" s="11">
        <v>3000</v>
      </c>
      <c r="J52" s="10"/>
      <c r="K52" s="9">
        <v>3000</v>
      </c>
      <c r="L52" s="8">
        <f t="shared" si="0"/>
        <v>0</v>
      </c>
    </row>
    <row r="53" spans="1:12" ht="169.5" customHeight="1" thickBot="1" x14ac:dyDescent="0.3">
      <c r="A53" s="50"/>
      <c r="B53" s="24" t="s">
        <v>194</v>
      </c>
      <c r="C53" s="12" t="s">
        <v>118</v>
      </c>
      <c r="D53" s="12" t="s">
        <v>1</v>
      </c>
      <c r="E53" s="13" t="s">
        <v>216</v>
      </c>
      <c r="F53" s="22" t="s">
        <v>122</v>
      </c>
      <c r="G53" s="13" t="s">
        <v>0</v>
      </c>
      <c r="H53" s="12" t="s">
        <v>181</v>
      </c>
      <c r="I53" s="11">
        <v>3000</v>
      </c>
      <c r="J53" s="10"/>
      <c r="K53" s="9">
        <v>3000</v>
      </c>
      <c r="L53" s="8">
        <f t="shared" si="0"/>
        <v>0</v>
      </c>
    </row>
    <row r="54" spans="1:12" x14ac:dyDescent="0.25">
      <c r="A54" s="26"/>
      <c r="B54" s="27"/>
      <c r="C54" s="26"/>
      <c r="D54" s="28"/>
      <c r="E54" s="27"/>
      <c r="F54" s="28"/>
      <c r="G54" s="27"/>
      <c r="H54" s="27"/>
      <c r="I54" s="27"/>
      <c r="J54" s="29"/>
      <c r="K54" s="30"/>
    </row>
    <row r="110" spans="1:11" s="2" customFormat="1" x14ac:dyDescent="0.25">
      <c r="A110" s="7"/>
      <c r="B110" s="5"/>
      <c r="C110" s="7"/>
      <c r="D110" s="6"/>
      <c r="E110" s="5"/>
      <c r="F110" s="6"/>
      <c r="G110" s="5"/>
      <c r="H110" s="5"/>
      <c r="I110" s="5"/>
      <c r="J110" s="4"/>
      <c r="K110" s="3" t="s">
        <v>148</v>
      </c>
    </row>
  </sheetData>
  <autoFilter ref="A2:L53"/>
  <dataConsolidate/>
  <mergeCells count="6">
    <mergeCell ref="A41:A53"/>
    <mergeCell ref="A1:L1"/>
    <mergeCell ref="A3:A11"/>
    <mergeCell ref="A12:A21"/>
    <mergeCell ref="A22:A25"/>
    <mergeCell ref="A26:A40"/>
  </mergeCells>
  <conditionalFormatting sqref="I2:I53 K3:L53">
    <cfRule type="cellIs" dxfId="156" priority="2" operator="lessThan">
      <formula>0</formula>
    </cfRule>
  </conditionalFormatting>
  <conditionalFormatting sqref="L2">
    <cfRule type="cellIs" dxfId="155" priority="1" operator="lessThan">
      <formula>0</formula>
    </cfRule>
  </conditionalFormatting>
  <printOptions horizontalCentered="1"/>
  <pageMargins left="0" right="0" top="0" bottom="0" header="0" footer="0"/>
  <pageSetup paperSize="9" scale="10" fitToHeight="0" orientation="portrait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29"/>
  <sheetViews>
    <sheetView showGridLines="0" view="pageBreakPreview" topLeftCell="A13" zoomScale="20" zoomScaleNormal="27" zoomScaleSheetLayoutView="20" workbookViewId="0">
      <selection activeCell="J9" sqref="J9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219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9.5" customHeight="1" thickBot="1" x14ac:dyDescent="0.3">
      <c r="A3" s="46" t="s">
        <v>41</v>
      </c>
      <c r="B3" s="13" t="s">
        <v>40</v>
      </c>
      <c r="C3" s="12" t="s">
        <v>31</v>
      </c>
      <c r="D3" s="12" t="s">
        <v>126</v>
      </c>
      <c r="E3" s="13" t="s">
        <v>220</v>
      </c>
      <c r="F3" s="22" t="s">
        <v>131</v>
      </c>
      <c r="G3" s="13" t="s">
        <v>37</v>
      </c>
      <c r="H3" s="12" t="s">
        <v>187</v>
      </c>
      <c r="I3" s="11">
        <v>1000</v>
      </c>
      <c r="J3" s="10"/>
      <c r="K3" s="9">
        <v>1000</v>
      </c>
      <c r="L3" s="8">
        <f t="shared" ref="L3:L29" si="0">K3+J3-I3</f>
        <v>0</v>
      </c>
    </row>
    <row r="4" spans="1:12" ht="169.5" customHeight="1" thickBot="1" x14ac:dyDescent="0.3">
      <c r="A4" s="47"/>
      <c r="B4" s="13" t="s">
        <v>136</v>
      </c>
      <c r="C4" s="12" t="s">
        <v>118</v>
      </c>
      <c r="D4" s="12" t="s">
        <v>126</v>
      </c>
      <c r="E4" s="13" t="s">
        <v>221</v>
      </c>
      <c r="F4" s="22" t="s">
        <v>122</v>
      </c>
      <c r="G4" s="13" t="s">
        <v>0</v>
      </c>
      <c r="H4" s="12" t="s">
        <v>187</v>
      </c>
      <c r="I4" s="11">
        <v>4000</v>
      </c>
      <c r="J4" s="10"/>
      <c r="K4" s="9">
        <v>4000</v>
      </c>
      <c r="L4" s="8">
        <f t="shared" si="0"/>
        <v>0</v>
      </c>
    </row>
    <row r="5" spans="1:12" ht="169.5" customHeight="1" thickBot="1" x14ac:dyDescent="0.3">
      <c r="A5" s="47"/>
      <c r="B5" s="13" t="s">
        <v>136</v>
      </c>
      <c r="C5" s="12" t="s">
        <v>3</v>
      </c>
      <c r="D5" s="12" t="s">
        <v>126</v>
      </c>
      <c r="E5" s="13" t="s">
        <v>153</v>
      </c>
      <c r="F5" s="22" t="s">
        <v>122</v>
      </c>
      <c r="G5" s="13" t="s">
        <v>0</v>
      </c>
      <c r="H5" s="12" t="s">
        <v>187</v>
      </c>
      <c r="I5" s="11">
        <v>5000</v>
      </c>
      <c r="J5" s="10"/>
      <c r="K5" s="9">
        <v>5000</v>
      </c>
      <c r="L5" s="8">
        <f t="shared" si="0"/>
        <v>0</v>
      </c>
    </row>
    <row r="6" spans="1:12" ht="169.5" customHeight="1" thickBot="1" x14ac:dyDescent="0.3">
      <c r="A6" s="47"/>
      <c r="B6" s="13" t="s">
        <v>77</v>
      </c>
      <c r="C6" s="12" t="s">
        <v>27</v>
      </c>
      <c r="D6" s="12" t="s">
        <v>24</v>
      </c>
      <c r="E6" s="13" t="s">
        <v>55</v>
      </c>
      <c r="F6" s="22" t="s">
        <v>9</v>
      </c>
      <c r="G6" s="13" t="s">
        <v>0</v>
      </c>
      <c r="H6" s="12" t="s">
        <v>218</v>
      </c>
      <c r="I6" s="11">
        <v>2000</v>
      </c>
      <c r="J6" s="10"/>
      <c r="K6" s="9">
        <v>2000</v>
      </c>
      <c r="L6" s="8">
        <f t="shared" si="0"/>
        <v>0</v>
      </c>
    </row>
    <row r="7" spans="1:12" ht="169.5" customHeight="1" thickBot="1" x14ac:dyDescent="0.3">
      <c r="A7" s="48"/>
      <c r="B7" s="13" t="s">
        <v>32</v>
      </c>
      <c r="C7" s="12" t="s">
        <v>31</v>
      </c>
      <c r="D7" s="12" t="s">
        <v>24</v>
      </c>
      <c r="E7" s="13" t="s">
        <v>71</v>
      </c>
      <c r="F7" s="22" t="s">
        <v>4</v>
      </c>
      <c r="G7" s="13" t="s">
        <v>0</v>
      </c>
      <c r="H7" s="12" t="s">
        <v>215</v>
      </c>
      <c r="I7" s="11">
        <v>1000</v>
      </c>
      <c r="J7" s="10"/>
      <c r="K7" s="9">
        <v>1000</v>
      </c>
      <c r="L7" s="8">
        <f t="shared" si="0"/>
        <v>0</v>
      </c>
    </row>
    <row r="8" spans="1:12" ht="169.5" customHeight="1" thickBot="1" x14ac:dyDescent="0.3">
      <c r="A8" s="46" t="s">
        <v>36</v>
      </c>
      <c r="B8" s="13" t="s">
        <v>35</v>
      </c>
      <c r="C8" s="12" t="s">
        <v>34</v>
      </c>
      <c r="D8" s="12" t="s">
        <v>24</v>
      </c>
      <c r="E8" s="13" t="s">
        <v>33</v>
      </c>
      <c r="F8" s="22" t="s">
        <v>4</v>
      </c>
      <c r="G8" s="13" t="s">
        <v>0</v>
      </c>
      <c r="H8" s="12" t="s">
        <v>215</v>
      </c>
      <c r="I8" s="11">
        <v>1060</v>
      </c>
      <c r="J8" s="10"/>
      <c r="K8" s="9">
        <v>1060</v>
      </c>
      <c r="L8" s="8">
        <f t="shared" si="0"/>
        <v>0</v>
      </c>
    </row>
    <row r="9" spans="1:12" ht="169.5" customHeight="1" thickBot="1" x14ac:dyDescent="0.3">
      <c r="A9" s="47"/>
      <c r="B9" s="13" t="s">
        <v>29</v>
      </c>
      <c r="C9" s="12" t="s">
        <v>31</v>
      </c>
      <c r="D9" s="12" t="s">
        <v>24</v>
      </c>
      <c r="E9" s="13" t="s">
        <v>78</v>
      </c>
      <c r="F9" s="22" t="s">
        <v>4</v>
      </c>
      <c r="G9" s="13" t="s">
        <v>0</v>
      </c>
      <c r="H9" s="12" t="s">
        <v>215</v>
      </c>
      <c r="I9" s="11">
        <v>1179</v>
      </c>
      <c r="J9" s="10"/>
      <c r="K9" s="9">
        <v>1179</v>
      </c>
      <c r="L9" s="8">
        <f t="shared" si="0"/>
        <v>0</v>
      </c>
    </row>
    <row r="10" spans="1:12" ht="169.5" customHeight="1" thickBot="1" x14ac:dyDescent="0.3">
      <c r="A10" s="47"/>
      <c r="B10" s="13" t="s">
        <v>38</v>
      </c>
      <c r="C10" s="12" t="s">
        <v>15</v>
      </c>
      <c r="D10" s="12" t="s">
        <v>24</v>
      </c>
      <c r="E10" s="13" t="s">
        <v>96</v>
      </c>
      <c r="F10" s="22" t="s">
        <v>4</v>
      </c>
      <c r="G10" s="13" t="s">
        <v>0</v>
      </c>
      <c r="H10" s="12" t="s">
        <v>215</v>
      </c>
      <c r="I10" s="11">
        <v>1001</v>
      </c>
      <c r="J10" s="10"/>
      <c r="K10" s="9">
        <v>1001</v>
      </c>
      <c r="L10" s="8">
        <f t="shared" si="0"/>
        <v>0</v>
      </c>
    </row>
    <row r="11" spans="1:12" ht="169.5" customHeight="1" thickBot="1" x14ac:dyDescent="0.3">
      <c r="A11" s="47"/>
      <c r="B11" s="24" t="s">
        <v>157</v>
      </c>
      <c r="C11" s="12" t="s">
        <v>26</v>
      </c>
      <c r="D11" s="12" t="s">
        <v>24</v>
      </c>
      <c r="E11" s="13" t="s">
        <v>25</v>
      </c>
      <c r="F11" s="22" t="s">
        <v>4</v>
      </c>
      <c r="G11" s="13" t="s">
        <v>0</v>
      </c>
      <c r="H11" s="12" t="s">
        <v>215</v>
      </c>
      <c r="I11" s="11">
        <v>728</v>
      </c>
      <c r="J11" s="10"/>
      <c r="K11" s="9">
        <v>728</v>
      </c>
      <c r="L11" s="8">
        <f t="shared" si="0"/>
        <v>0</v>
      </c>
    </row>
    <row r="12" spans="1:12" ht="169.5" customHeight="1" thickBot="1" x14ac:dyDescent="0.3">
      <c r="A12" s="48"/>
      <c r="B12" s="24" t="s">
        <v>157</v>
      </c>
      <c r="C12" s="12" t="s">
        <v>26</v>
      </c>
      <c r="D12" s="12" t="s">
        <v>24</v>
      </c>
      <c r="E12" s="13" t="s">
        <v>59</v>
      </c>
      <c r="F12" s="22" t="s">
        <v>4</v>
      </c>
      <c r="G12" s="13" t="s">
        <v>0</v>
      </c>
      <c r="H12" s="12" t="s">
        <v>215</v>
      </c>
      <c r="I12" s="11">
        <v>2403</v>
      </c>
      <c r="J12" s="10"/>
      <c r="K12" s="9">
        <v>2403</v>
      </c>
      <c r="L12" s="8">
        <f t="shared" si="0"/>
        <v>0</v>
      </c>
    </row>
    <row r="13" spans="1:12" ht="169.5" customHeight="1" thickBot="1" x14ac:dyDescent="0.3">
      <c r="A13" s="46" t="s">
        <v>23</v>
      </c>
      <c r="B13" s="24" t="s">
        <v>12</v>
      </c>
      <c r="C13" s="12" t="s">
        <v>6</v>
      </c>
      <c r="D13" s="12" t="s">
        <v>20</v>
      </c>
      <c r="E13" s="13" t="s">
        <v>22</v>
      </c>
      <c r="F13" s="22" t="s">
        <v>4</v>
      </c>
      <c r="G13" s="13" t="s">
        <v>0</v>
      </c>
      <c r="H13" s="12" t="s">
        <v>215</v>
      </c>
      <c r="I13" s="11">
        <v>5000</v>
      </c>
      <c r="J13" s="10"/>
      <c r="K13" s="9">
        <v>5000</v>
      </c>
      <c r="L13" s="8">
        <f t="shared" si="0"/>
        <v>0</v>
      </c>
    </row>
    <row r="14" spans="1:12" ht="169.5" customHeight="1" thickBot="1" x14ac:dyDescent="0.3">
      <c r="A14" s="47"/>
      <c r="B14" s="24" t="s">
        <v>21</v>
      </c>
      <c r="C14" s="12" t="s">
        <v>118</v>
      </c>
      <c r="D14" s="12" t="s">
        <v>20</v>
      </c>
      <c r="E14" s="13" t="s">
        <v>222</v>
      </c>
      <c r="F14" s="22" t="s">
        <v>4</v>
      </c>
      <c r="G14" s="13" t="s">
        <v>0</v>
      </c>
      <c r="H14" s="12" t="s">
        <v>215</v>
      </c>
      <c r="I14" s="11">
        <v>2884</v>
      </c>
      <c r="J14" s="10"/>
      <c r="K14" s="9">
        <v>2884</v>
      </c>
      <c r="L14" s="8">
        <f t="shared" si="0"/>
        <v>0</v>
      </c>
    </row>
    <row r="15" spans="1:12" ht="169.5" customHeight="1" thickBot="1" x14ac:dyDescent="0.3">
      <c r="A15" s="47"/>
      <c r="B15" s="24" t="s">
        <v>21</v>
      </c>
      <c r="C15" s="12" t="s">
        <v>118</v>
      </c>
      <c r="D15" s="12" t="s">
        <v>20</v>
      </c>
      <c r="E15" s="13" t="s">
        <v>119</v>
      </c>
      <c r="F15" s="22" t="s">
        <v>4</v>
      </c>
      <c r="G15" s="13" t="s">
        <v>0</v>
      </c>
      <c r="H15" s="12" t="s">
        <v>215</v>
      </c>
      <c r="I15" s="11">
        <v>275</v>
      </c>
      <c r="J15" s="10"/>
      <c r="K15" s="9">
        <v>275</v>
      </c>
      <c r="L15" s="8">
        <f t="shared" si="0"/>
        <v>0</v>
      </c>
    </row>
    <row r="16" spans="1:12" ht="169.5" customHeight="1" thickBot="1" x14ac:dyDescent="0.3">
      <c r="A16" s="47"/>
      <c r="B16" s="24" t="s">
        <v>21</v>
      </c>
      <c r="C16" s="12" t="s">
        <v>3</v>
      </c>
      <c r="D16" s="12" t="s">
        <v>20</v>
      </c>
      <c r="E16" s="23" t="s">
        <v>56</v>
      </c>
      <c r="F16" s="22" t="s">
        <v>9</v>
      </c>
      <c r="G16" s="13" t="s">
        <v>0</v>
      </c>
      <c r="H16" s="12" t="s">
        <v>187</v>
      </c>
      <c r="I16" s="11">
        <v>2000</v>
      </c>
      <c r="J16" s="10"/>
      <c r="K16" s="9">
        <v>2000</v>
      </c>
      <c r="L16" s="8">
        <f t="shared" si="0"/>
        <v>0</v>
      </c>
    </row>
    <row r="17" spans="1:12" ht="169.5" customHeight="1" thickBot="1" x14ac:dyDescent="0.3">
      <c r="A17" s="48"/>
      <c r="B17" s="24" t="s">
        <v>21</v>
      </c>
      <c r="C17" s="12" t="s">
        <v>3</v>
      </c>
      <c r="D17" s="12" t="s">
        <v>20</v>
      </c>
      <c r="E17" s="13" t="s">
        <v>57</v>
      </c>
      <c r="F17" s="22" t="s">
        <v>9</v>
      </c>
      <c r="G17" s="13" t="s">
        <v>0</v>
      </c>
      <c r="H17" s="12" t="s">
        <v>187</v>
      </c>
      <c r="I17" s="11">
        <v>2000</v>
      </c>
      <c r="J17" s="10"/>
      <c r="K17" s="9">
        <v>2000</v>
      </c>
      <c r="L17" s="8">
        <f t="shared" si="0"/>
        <v>0</v>
      </c>
    </row>
    <row r="18" spans="1:12" ht="169.5" customHeight="1" thickBot="1" x14ac:dyDescent="0.3">
      <c r="A18" s="46" t="s">
        <v>54</v>
      </c>
      <c r="B18" s="24" t="s">
        <v>223</v>
      </c>
      <c r="C18" s="12" t="s">
        <v>224</v>
      </c>
      <c r="D18" s="12" t="s">
        <v>60</v>
      </c>
      <c r="E18" s="13" t="s">
        <v>225</v>
      </c>
      <c r="F18" s="22" t="s">
        <v>9</v>
      </c>
      <c r="G18" s="13" t="s">
        <v>8</v>
      </c>
      <c r="H18" s="12" t="s">
        <v>187</v>
      </c>
      <c r="I18" s="11">
        <v>331</v>
      </c>
      <c r="J18" s="10"/>
      <c r="K18" s="9">
        <v>331</v>
      </c>
      <c r="L18" s="8">
        <f t="shared" si="0"/>
        <v>0</v>
      </c>
    </row>
    <row r="19" spans="1:12" ht="169.5" customHeight="1" thickBot="1" x14ac:dyDescent="0.3">
      <c r="A19" s="47"/>
      <c r="B19" s="24" t="s">
        <v>67</v>
      </c>
      <c r="C19" s="12" t="s">
        <v>68</v>
      </c>
      <c r="D19" s="12" t="s">
        <v>60</v>
      </c>
      <c r="E19" s="13" t="s">
        <v>226</v>
      </c>
      <c r="F19" s="22" t="s">
        <v>102</v>
      </c>
      <c r="G19" s="13" t="s">
        <v>37</v>
      </c>
      <c r="H19" s="12" t="s">
        <v>187</v>
      </c>
      <c r="I19" s="11">
        <v>10</v>
      </c>
      <c r="J19" s="10"/>
      <c r="K19" s="9">
        <v>10</v>
      </c>
      <c r="L19" s="8">
        <f t="shared" si="0"/>
        <v>0</v>
      </c>
    </row>
    <row r="20" spans="1:12" ht="169.5" customHeight="1" thickBot="1" x14ac:dyDescent="0.3">
      <c r="A20" s="48"/>
      <c r="B20" s="24" t="s">
        <v>67</v>
      </c>
      <c r="C20" s="12" t="s">
        <v>68</v>
      </c>
      <c r="D20" s="12" t="s">
        <v>60</v>
      </c>
      <c r="E20" s="13" t="s">
        <v>227</v>
      </c>
      <c r="F20" s="22" t="s">
        <v>102</v>
      </c>
      <c r="G20" s="13" t="s">
        <v>37</v>
      </c>
      <c r="H20" s="12" t="s">
        <v>187</v>
      </c>
      <c r="I20" s="11">
        <v>20</v>
      </c>
      <c r="J20" s="10"/>
      <c r="K20" s="9">
        <v>20</v>
      </c>
      <c r="L20" s="8">
        <f t="shared" si="0"/>
        <v>0</v>
      </c>
    </row>
    <row r="21" spans="1:12" ht="169.5" customHeight="1" thickBot="1" x14ac:dyDescent="0.3">
      <c r="A21" s="46" t="s">
        <v>19</v>
      </c>
      <c r="B21" s="24" t="s">
        <v>12</v>
      </c>
      <c r="C21" s="12" t="s">
        <v>105</v>
      </c>
      <c r="D21" s="12" t="s">
        <v>120</v>
      </c>
      <c r="E21" s="13" t="s">
        <v>217</v>
      </c>
      <c r="F21" s="22" t="s">
        <v>122</v>
      </c>
      <c r="G21" s="13" t="s">
        <v>0</v>
      </c>
      <c r="H21" s="12" t="s">
        <v>218</v>
      </c>
      <c r="I21" s="11">
        <v>600</v>
      </c>
      <c r="J21" s="10"/>
      <c r="K21" s="9">
        <v>600</v>
      </c>
      <c r="L21" s="8">
        <f t="shared" si="0"/>
        <v>0</v>
      </c>
    </row>
    <row r="22" spans="1:12" ht="169.5" customHeight="1" thickBot="1" x14ac:dyDescent="0.3">
      <c r="A22" s="47"/>
      <c r="B22" s="24" t="s">
        <v>7</v>
      </c>
      <c r="C22" s="12" t="s">
        <v>17</v>
      </c>
      <c r="D22" s="12" t="s">
        <v>120</v>
      </c>
      <c r="E22" s="13" t="s">
        <v>121</v>
      </c>
      <c r="F22" s="22" t="s">
        <v>122</v>
      </c>
      <c r="G22" s="13" t="s">
        <v>0</v>
      </c>
      <c r="H22" s="12" t="s">
        <v>218</v>
      </c>
      <c r="I22" s="11">
        <v>500</v>
      </c>
      <c r="J22" s="10"/>
      <c r="K22" s="9">
        <v>500</v>
      </c>
      <c r="L22" s="8">
        <f t="shared" si="0"/>
        <v>0</v>
      </c>
    </row>
    <row r="23" spans="1:12" ht="169.5" customHeight="1" thickBot="1" x14ac:dyDescent="0.3">
      <c r="A23" s="47"/>
      <c r="B23" s="24" t="s">
        <v>7</v>
      </c>
      <c r="C23" s="12" t="s">
        <v>15</v>
      </c>
      <c r="D23" s="12" t="s">
        <v>14</v>
      </c>
      <c r="E23" s="13" t="s">
        <v>65</v>
      </c>
      <c r="F23" s="22" t="s">
        <v>4</v>
      </c>
      <c r="G23" s="13" t="s">
        <v>0</v>
      </c>
      <c r="H23" s="12" t="s">
        <v>215</v>
      </c>
      <c r="I23" s="11">
        <v>1000</v>
      </c>
      <c r="J23" s="10"/>
      <c r="K23" s="9">
        <v>1000</v>
      </c>
      <c r="L23" s="8">
        <f t="shared" si="0"/>
        <v>0</v>
      </c>
    </row>
    <row r="24" spans="1:12" ht="169.5" customHeight="1" thickBot="1" x14ac:dyDescent="0.3">
      <c r="A24" s="47"/>
      <c r="B24" s="24" t="s">
        <v>7</v>
      </c>
      <c r="C24" s="12" t="s">
        <v>15</v>
      </c>
      <c r="D24" s="12" t="s">
        <v>14</v>
      </c>
      <c r="E24" s="13" t="s">
        <v>58</v>
      </c>
      <c r="F24" s="22" t="s">
        <v>4</v>
      </c>
      <c r="G24" s="13" t="s">
        <v>0</v>
      </c>
      <c r="H24" s="12" t="s">
        <v>215</v>
      </c>
      <c r="I24" s="11">
        <v>1000</v>
      </c>
      <c r="J24" s="10"/>
      <c r="K24" s="9">
        <v>1000</v>
      </c>
      <c r="L24" s="8">
        <f t="shared" si="0"/>
        <v>0</v>
      </c>
    </row>
    <row r="25" spans="1:12" ht="169.5" customHeight="1" thickBot="1" x14ac:dyDescent="0.3">
      <c r="A25" s="47"/>
      <c r="B25" s="24" t="s">
        <v>7</v>
      </c>
      <c r="C25" s="12" t="s">
        <v>15</v>
      </c>
      <c r="D25" s="12" t="s">
        <v>14</v>
      </c>
      <c r="E25" s="13" t="s">
        <v>13</v>
      </c>
      <c r="F25" s="22" t="s">
        <v>4</v>
      </c>
      <c r="G25" s="13" t="s">
        <v>0</v>
      </c>
      <c r="H25" s="12" t="s">
        <v>215</v>
      </c>
      <c r="I25" s="11">
        <v>3000</v>
      </c>
      <c r="J25" s="10"/>
      <c r="K25" s="9">
        <v>3000</v>
      </c>
      <c r="L25" s="8">
        <f t="shared" si="0"/>
        <v>0</v>
      </c>
    </row>
    <row r="26" spans="1:12" ht="169.5" customHeight="1" thickBot="1" x14ac:dyDescent="0.3">
      <c r="A26" s="47"/>
      <c r="B26" s="24" t="s">
        <v>12</v>
      </c>
      <c r="C26" s="12" t="s">
        <v>118</v>
      </c>
      <c r="D26" s="12" t="s">
        <v>123</v>
      </c>
      <c r="E26" s="13" t="s">
        <v>124</v>
      </c>
      <c r="F26" s="22" t="s">
        <v>4</v>
      </c>
      <c r="G26" s="13" t="s">
        <v>0</v>
      </c>
      <c r="H26" s="12" t="s">
        <v>215</v>
      </c>
      <c r="I26" s="11">
        <v>1923</v>
      </c>
      <c r="J26" s="10"/>
      <c r="K26" s="9">
        <v>1923</v>
      </c>
      <c r="L26" s="8">
        <f t="shared" si="0"/>
        <v>0</v>
      </c>
    </row>
    <row r="27" spans="1:12" ht="169.5" customHeight="1" thickBot="1" x14ac:dyDescent="0.3">
      <c r="A27" s="47"/>
      <c r="B27" s="24" t="s">
        <v>12</v>
      </c>
      <c r="C27" s="12" t="s">
        <v>3</v>
      </c>
      <c r="D27" s="12" t="s">
        <v>11</v>
      </c>
      <c r="E27" s="13" t="s">
        <v>10</v>
      </c>
      <c r="F27" s="22" t="s">
        <v>4</v>
      </c>
      <c r="G27" s="13" t="s">
        <v>0</v>
      </c>
      <c r="H27" s="12" t="s">
        <v>215</v>
      </c>
      <c r="I27" s="11">
        <v>12000</v>
      </c>
      <c r="J27" s="10"/>
      <c r="K27" s="9">
        <v>12000</v>
      </c>
      <c r="L27" s="8">
        <f t="shared" si="0"/>
        <v>0</v>
      </c>
    </row>
    <row r="28" spans="1:12" ht="169.5" customHeight="1" thickBot="1" x14ac:dyDescent="0.3">
      <c r="A28" s="47"/>
      <c r="B28" s="24" t="s">
        <v>7</v>
      </c>
      <c r="C28" s="12" t="s">
        <v>6</v>
      </c>
      <c r="D28" s="12" t="s">
        <v>1</v>
      </c>
      <c r="E28" s="13" t="s">
        <v>5</v>
      </c>
      <c r="F28" s="22" t="s">
        <v>4</v>
      </c>
      <c r="G28" s="13" t="s">
        <v>0</v>
      </c>
      <c r="H28" s="12" t="s">
        <v>215</v>
      </c>
      <c r="I28" s="11">
        <v>6000</v>
      </c>
      <c r="J28" s="10"/>
      <c r="K28" s="9">
        <v>6000</v>
      </c>
      <c r="L28" s="8">
        <f t="shared" si="0"/>
        <v>0</v>
      </c>
    </row>
    <row r="29" spans="1:12" ht="169.5" customHeight="1" thickBot="1" x14ac:dyDescent="0.3">
      <c r="A29" s="48"/>
      <c r="B29" s="24" t="s">
        <v>7</v>
      </c>
      <c r="C29" s="12" t="s">
        <v>6</v>
      </c>
      <c r="D29" s="12" t="s">
        <v>1</v>
      </c>
      <c r="E29" s="13" t="s">
        <v>5</v>
      </c>
      <c r="F29" s="22" t="s">
        <v>9</v>
      </c>
      <c r="G29" s="13" t="s">
        <v>0</v>
      </c>
      <c r="H29" s="12" t="s">
        <v>218</v>
      </c>
      <c r="I29" s="11">
        <v>1000</v>
      </c>
      <c r="J29" s="10"/>
      <c r="K29" s="9">
        <v>1000</v>
      </c>
      <c r="L29" s="8">
        <f t="shared" si="0"/>
        <v>0</v>
      </c>
    </row>
  </sheetData>
  <autoFilter ref="A2:L22"/>
  <dataConsolidate/>
  <mergeCells count="6">
    <mergeCell ref="A21:A29"/>
    <mergeCell ref="A1:L1"/>
    <mergeCell ref="A3:A7"/>
    <mergeCell ref="A8:A12"/>
    <mergeCell ref="A13:A17"/>
    <mergeCell ref="A18:A20"/>
  </mergeCells>
  <conditionalFormatting sqref="I2:I29 K3:L29">
    <cfRule type="cellIs" dxfId="154" priority="2" operator="lessThan">
      <formula>0</formula>
    </cfRule>
  </conditionalFormatting>
  <conditionalFormatting sqref="L2">
    <cfRule type="cellIs" dxfId="153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8"/>
  <sheetViews>
    <sheetView showGridLines="0" view="pageBreakPreview" topLeftCell="A32" zoomScale="20" zoomScaleNormal="27" zoomScaleSheetLayoutView="20" workbookViewId="0">
      <selection activeCell="I3" sqref="I3:I48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228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9.5" customHeight="1" thickBot="1" x14ac:dyDescent="0.3">
      <c r="A3" s="46" t="s">
        <v>41</v>
      </c>
      <c r="B3" s="13" t="s">
        <v>136</v>
      </c>
      <c r="C3" s="12" t="s">
        <v>118</v>
      </c>
      <c r="D3" s="12" t="s">
        <v>126</v>
      </c>
      <c r="E3" s="13" t="s">
        <v>221</v>
      </c>
      <c r="F3" s="22" t="s">
        <v>122</v>
      </c>
      <c r="G3" s="13" t="s">
        <v>0</v>
      </c>
      <c r="H3" s="12" t="s">
        <v>187</v>
      </c>
      <c r="I3" s="11">
        <v>4000</v>
      </c>
      <c r="J3" s="10">
        <v>1000</v>
      </c>
      <c r="K3" s="9">
        <v>3000</v>
      </c>
      <c r="L3" s="8">
        <f t="shared" ref="L3:L48" si="0">K3+J3-I3</f>
        <v>0</v>
      </c>
    </row>
    <row r="4" spans="1:12" ht="169.5" customHeight="1" thickBot="1" x14ac:dyDescent="0.3">
      <c r="A4" s="47"/>
      <c r="B4" s="13" t="s">
        <v>136</v>
      </c>
      <c r="C4" s="12" t="s">
        <v>3</v>
      </c>
      <c r="D4" s="12" t="s">
        <v>126</v>
      </c>
      <c r="E4" s="13" t="s">
        <v>153</v>
      </c>
      <c r="F4" s="22" t="s">
        <v>122</v>
      </c>
      <c r="G4" s="13" t="s">
        <v>0</v>
      </c>
      <c r="H4" s="12" t="s">
        <v>229</v>
      </c>
      <c r="I4" s="11">
        <v>5000</v>
      </c>
      <c r="J4" s="10">
        <v>1000</v>
      </c>
      <c r="K4" s="9">
        <v>4000</v>
      </c>
      <c r="L4" s="8">
        <f t="shared" si="0"/>
        <v>0</v>
      </c>
    </row>
    <row r="5" spans="1:12" ht="169.5" customHeight="1" thickBot="1" x14ac:dyDescent="0.3">
      <c r="A5" s="47"/>
      <c r="B5" s="13" t="s">
        <v>157</v>
      </c>
      <c r="C5" s="12" t="s">
        <v>26</v>
      </c>
      <c r="D5" s="12" t="s">
        <v>24</v>
      </c>
      <c r="E5" s="13" t="s">
        <v>25</v>
      </c>
      <c r="F5" s="22" t="s">
        <v>4</v>
      </c>
      <c r="G5" s="13" t="s">
        <v>0</v>
      </c>
      <c r="H5" s="12" t="s">
        <v>215</v>
      </c>
      <c r="I5" s="11">
        <v>2228</v>
      </c>
      <c r="J5" s="10"/>
      <c r="K5" s="9">
        <v>2228</v>
      </c>
      <c r="L5" s="8">
        <f t="shared" si="0"/>
        <v>0</v>
      </c>
    </row>
    <row r="6" spans="1:12" ht="169.5" customHeight="1" thickBot="1" x14ac:dyDescent="0.3">
      <c r="A6" s="47"/>
      <c r="B6" s="13" t="s">
        <v>157</v>
      </c>
      <c r="C6" s="12" t="s">
        <v>26</v>
      </c>
      <c r="D6" s="12" t="s">
        <v>24</v>
      </c>
      <c r="E6" s="13" t="s">
        <v>25</v>
      </c>
      <c r="F6" s="22" t="s">
        <v>4</v>
      </c>
      <c r="G6" s="13" t="s">
        <v>0</v>
      </c>
      <c r="H6" s="12" t="s">
        <v>215</v>
      </c>
      <c r="I6" s="11">
        <v>1000</v>
      </c>
      <c r="J6" s="10"/>
      <c r="K6" s="9">
        <v>1000</v>
      </c>
      <c r="L6" s="8">
        <f t="shared" si="0"/>
        <v>0</v>
      </c>
    </row>
    <row r="7" spans="1:12" ht="169.5" customHeight="1" thickBot="1" x14ac:dyDescent="0.3">
      <c r="A7" s="47"/>
      <c r="B7" s="13" t="s">
        <v>35</v>
      </c>
      <c r="C7" s="12" t="s">
        <v>34</v>
      </c>
      <c r="D7" s="12" t="s">
        <v>24</v>
      </c>
      <c r="E7" s="13" t="s">
        <v>33</v>
      </c>
      <c r="F7" s="22" t="s">
        <v>4</v>
      </c>
      <c r="G7" s="13" t="s">
        <v>0</v>
      </c>
      <c r="H7" s="12" t="s">
        <v>215</v>
      </c>
      <c r="I7" s="11">
        <v>2060</v>
      </c>
      <c r="J7" s="10"/>
      <c r="K7" s="9">
        <v>2060</v>
      </c>
      <c r="L7" s="8">
        <f t="shared" si="0"/>
        <v>0</v>
      </c>
    </row>
    <row r="8" spans="1:12" ht="169.5" customHeight="1" thickBot="1" x14ac:dyDescent="0.3">
      <c r="A8" s="47"/>
      <c r="B8" s="13" t="s">
        <v>66</v>
      </c>
      <c r="C8" s="12" t="s">
        <v>62</v>
      </c>
      <c r="D8" s="12" t="s">
        <v>24</v>
      </c>
      <c r="E8" s="13" t="s">
        <v>63</v>
      </c>
      <c r="F8" s="22" t="s">
        <v>4</v>
      </c>
      <c r="G8" s="13" t="s">
        <v>0</v>
      </c>
      <c r="H8" s="12" t="s">
        <v>230</v>
      </c>
      <c r="I8" s="11">
        <v>1500</v>
      </c>
      <c r="J8" s="10"/>
      <c r="K8" s="9">
        <v>1500</v>
      </c>
      <c r="L8" s="8">
        <f t="shared" si="0"/>
        <v>0</v>
      </c>
    </row>
    <row r="9" spans="1:12" ht="169.5" customHeight="1" thickBot="1" x14ac:dyDescent="0.3">
      <c r="A9" s="47"/>
      <c r="B9" s="13" t="s">
        <v>38</v>
      </c>
      <c r="C9" s="12" t="s">
        <v>15</v>
      </c>
      <c r="D9" s="12" t="s">
        <v>24</v>
      </c>
      <c r="E9" s="13" t="s">
        <v>96</v>
      </c>
      <c r="F9" s="22" t="s">
        <v>4</v>
      </c>
      <c r="G9" s="13" t="s">
        <v>0</v>
      </c>
      <c r="H9" s="12" t="s">
        <v>215</v>
      </c>
      <c r="I9" s="11">
        <v>1501</v>
      </c>
      <c r="J9" s="10"/>
      <c r="K9" s="9">
        <v>1501</v>
      </c>
      <c r="L9" s="8">
        <f t="shared" si="0"/>
        <v>0</v>
      </c>
    </row>
    <row r="10" spans="1:12" ht="169.5" customHeight="1" thickBot="1" x14ac:dyDescent="0.3">
      <c r="A10" s="47"/>
      <c r="B10" s="13" t="s">
        <v>77</v>
      </c>
      <c r="C10" s="12" t="s">
        <v>27</v>
      </c>
      <c r="D10" s="12" t="s">
        <v>24</v>
      </c>
      <c r="E10" s="13" t="s">
        <v>76</v>
      </c>
      <c r="F10" s="22" t="s">
        <v>4</v>
      </c>
      <c r="G10" s="13" t="s">
        <v>8</v>
      </c>
      <c r="H10" s="12" t="s">
        <v>215</v>
      </c>
      <c r="I10" s="11">
        <v>100</v>
      </c>
      <c r="J10" s="10"/>
      <c r="K10" s="9">
        <v>100</v>
      </c>
      <c r="L10" s="8">
        <f t="shared" si="0"/>
        <v>0</v>
      </c>
    </row>
    <row r="11" spans="1:12" ht="169.5" customHeight="1" thickBot="1" x14ac:dyDescent="0.3">
      <c r="A11" s="47"/>
      <c r="B11" s="13" t="s">
        <v>77</v>
      </c>
      <c r="C11" s="12" t="s">
        <v>27</v>
      </c>
      <c r="D11" s="12" t="s">
        <v>24</v>
      </c>
      <c r="E11" s="13" t="s">
        <v>76</v>
      </c>
      <c r="F11" s="22" t="s">
        <v>4</v>
      </c>
      <c r="G11" s="13" t="s">
        <v>0</v>
      </c>
      <c r="H11" s="12" t="s">
        <v>215</v>
      </c>
      <c r="I11" s="11">
        <v>3267</v>
      </c>
      <c r="J11" s="10"/>
      <c r="K11" s="9">
        <v>3267</v>
      </c>
      <c r="L11" s="8">
        <f t="shared" si="0"/>
        <v>0</v>
      </c>
    </row>
    <row r="12" spans="1:12" ht="169.5" customHeight="1" thickBot="1" x14ac:dyDescent="0.3">
      <c r="A12" s="47"/>
      <c r="B12" s="13" t="s">
        <v>77</v>
      </c>
      <c r="C12" s="12" t="s">
        <v>27</v>
      </c>
      <c r="D12" s="12" t="s">
        <v>24</v>
      </c>
      <c r="E12" s="13" t="s">
        <v>197</v>
      </c>
      <c r="F12" s="22" t="s">
        <v>4</v>
      </c>
      <c r="G12" s="13" t="s">
        <v>0</v>
      </c>
      <c r="H12" s="12" t="s">
        <v>215</v>
      </c>
      <c r="I12" s="11">
        <v>700</v>
      </c>
      <c r="J12" s="10"/>
      <c r="K12" s="9">
        <v>700</v>
      </c>
      <c r="L12" s="8">
        <f t="shared" si="0"/>
        <v>0</v>
      </c>
    </row>
    <row r="13" spans="1:12" ht="169.5" customHeight="1" thickBot="1" x14ac:dyDescent="0.3">
      <c r="A13" s="47"/>
      <c r="B13" s="13" t="s">
        <v>35</v>
      </c>
      <c r="C13" s="12" t="s">
        <v>125</v>
      </c>
      <c r="D13" s="12" t="s">
        <v>24</v>
      </c>
      <c r="E13" s="13" t="s">
        <v>231</v>
      </c>
      <c r="F13" s="22" t="s">
        <v>4</v>
      </c>
      <c r="G13" s="13" t="s">
        <v>37</v>
      </c>
      <c r="H13" s="12" t="s">
        <v>187</v>
      </c>
      <c r="I13" s="11">
        <v>235</v>
      </c>
      <c r="J13" s="10"/>
      <c r="K13" s="9">
        <v>235</v>
      </c>
      <c r="L13" s="8">
        <f t="shared" si="0"/>
        <v>0</v>
      </c>
    </row>
    <row r="14" spans="1:12" ht="169.5" customHeight="1" thickBot="1" x14ac:dyDescent="0.3">
      <c r="A14" s="47"/>
      <c r="B14" s="13" t="s">
        <v>35</v>
      </c>
      <c r="C14" s="12" t="s">
        <v>125</v>
      </c>
      <c r="D14" s="12" t="s">
        <v>24</v>
      </c>
      <c r="E14" s="13" t="s">
        <v>232</v>
      </c>
      <c r="F14" s="22" t="s">
        <v>4</v>
      </c>
      <c r="G14" s="13" t="s">
        <v>37</v>
      </c>
      <c r="H14" s="12" t="s">
        <v>187</v>
      </c>
      <c r="I14" s="11">
        <v>167</v>
      </c>
      <c r="J14" s="10"/>
      <c r="K14" s="9">
        <v>167</v>
      </c>
      <c r="L14" s="8">
        <f t="shared" si="0"/>
        <v>0</v>
      </c>
    </row>
    <row r="15" spans="1:12" ht="169.5" customHeight="1" thickBot="1" x14ac:dyDescent="0.3">
      <c r="A15" s="47"/>
      <c r="B15" s="13" t="s">
        <v>35</v>
      </c>
      <c r="C15" s="12" t="s">
        <v>125</v>
      </c>
      <c r="D15" s="12" t="s">
        <v>24</v>
      </c>
      <c r="E15" s="13" t="s">
        <v>233</v>
      </c>
      <c r="F15" s="22" t="s">
        <v>4</v>
      </c>
      <c r="G15" s="13" t="s">
        <v>0</v>
      </c>
      <c r="H15" s="12" t="s">
        <v>187</v>
      </c>
      <c r="I15" s="11">
        <v>200</v>
      </c>
      <c r="J15" s="10">
        <v>200</v>
      </c>
      <c r="K15" s="9"/>
      <c r="L15" s="8">
        <f t="shared" si="0"/>
        <v>0</v>
      </c>
    </row>
    <row r="16" spans="1:12" ht="169.5" customHeight="1" thickBot="1" x14ac:dyDescent="0.3">
      <c r="A16" s="47"/>
      <c r="B16" s="13" t="s">
        <v>112</v>
      </c>
      <c r="C16" s="12" t="s">
        <v>113</v>
      </c>
      <c r="D16" s="12" t="s">
        <v>24</v>
      </c>
      <c r="E16" s="13" t="s">
        <v>114</v>
      </c>
      <c r="F16" s="22" t="s">
        <v>4</v>
      </c>
      <c r="G16" s="13" t="s">
        <v>0</v>
      </c>
      <c r="H16" s="12" t="s">
        <v>215</v>
      </c>
      <c r="I16" s="11">
        <v>2891</v>
      </c>
      <c r="J16" s="10"/>
      <c r="K16" s="9">
        <v>2891</v>
      </c>
      <c r="L16" s="8">
        <f t="shared" si="0"/>
        <v>0</v>
      </c>
    </row>
    <row r="17" spans="1:12" ht="169.5" customHeight="1" thickBot="1" x14ac:dyDescent="0.3">
      <c r="A17" s="47"/>
      <c r="B17" s="13" t="s">
        <v>32</v>
      </c>
      <c r="C17" s="12" t="s">
        <v>31</v>
      </c>
      <c r="D17" s="12" t="s">
        <v>24</v>
      </c>
      <c r="E17" s="13" t="s">
        <v>78</v>
      </c>
      <c r="F17" s="22" t="s">
        <v>4</v>
      </c>
      <c r="G17" s="13" t="s">
        <v>0</v>
      </c>
      <c r="H17" s="12" t="s">
        <v>215</v>
      </c>
      <c r="I17" s="11">
        <v>1000</v>
      </c>
      <c r="J17" s="10">
        <v>1000</v>
      </c>
      <c r="K17" s="9"/>
      <c r="L17" s="8">
        <f t="shared" si="0"/>
        <v>0</v>
      </c>
    </row>
    <row r="18" spans="1:12" ht="169.5" customHeight="1" thickBot="1" x14ac:dyDescent="0.3">
      <c r="A18" s="47"/>
      <c r="B18" s="13" t="s">
        <v>32</v>
      </c>
      <c r="C18" s="12" t="s">
        <v>31</v>
      </c>
      <c r="D18" s="12" t="s">
        <v>24</v>
      </c>
      <c r="E18" s="13" t="s">
        <v>78</v>
      </c>
      <c r="F18" s="22" t="s">
        <v>4</v>
      </c>
      <c r="G18" s="13" t="s">
        <v>0</v>
      </c>
      <c r="H18" s="12" t="s">
        <v>215</v>
      </c>
      <c r="I18" s="11">
        <v>1179</v>
      </c>
      <c r="J18" s="10"/>
      <c r="K18" s="9">
        <v>1179</v>
      </c>
      <c r="L18" s="8">
        <f t="shared" si="0"/>
        <v>0</v>
      </c>
    </row>
    <row r="19" spans="1:12" ht="169.5" customHeight="1" thickBot="1" x14ac:dyDescent="0.3">
      <c r="A19" s="48"/>
      <c r="B19" s="13" t="s">
        <v>32</v>
      </c>
      <c r="C19" s="12" t="s">
        <v>31</v>
      </c>
      <c r="D19" s="12" t="s">
        <v>24</v>
      </c>
      <c r="E19" s="13" t="s">
        <v>97</v>
      </c>
      <c r="F19" s="22" t="s">
        <v>4</v>
      </c>
      <c r="G19" s="13" t="s">
        <v>0</v>
      </c>
      <c r="H19" s="12" t="s">
        <v>215</v>
      </c>
      <c r="I19" s="11">
        <v>2800</v>
      </c>
      <c r="J19" s="10"/>
      <c r="K19" s="9">
        <v>2800</v>
      </c>
      <c r="L19" s="8">
        <f t="shared" si="0"/>
        <v>0</v>
      </c>
    </row>
    <row r="20" spans="1:12" ht="169.5" customHeight="1" thickBot="1" x14ac:dyDescent="0.3">
      <c r="A20" s="46" t="s">
        <v>36</v>
      </c>
      <c r="B20" s="13" t="s">
        <v>35</v>
      </c>
      <c r="C20" s="12" t="s">
        <v>125</v>
      </c>
      <c r="D20" s="12" t="s">
        <v>24</v>
      </c>
      <c r="E20" s="13" t="s">
        <v>233</v>
      </c>
      <c r="F20" s="22" t="s">
        <v>4</v>
      </c>
      <c r="G20" s="13" t="s">
        <v>0</v>
      </c>
      <c r="H20" s="12" t="s">
        <v>187</v>
      </c>
      <c r="I20" s="11">
        <v>200</v>
      </c>
      <c r="J20" s="10">
        <v>200</v>
      </c>
      <c r="K20" s="9"/>
      <c r="L20" s="8">
        <f t="shared" si="0"/>
        <v>0</v>
      </c>
    </row>
    <row r="21" spans="1:12" ht="169.5" customHeight="1" thickBot="1" x14ac:dyDescent="0.3">
      <c r="A21" s="47"/>
      <c r="B21" s="24" t="s">
        <v>66</v>
      </c>
      <c r="C21" s="12" t="s">
        <v>62</v>
      </c>
      <c r="D21" s="12" t="s">
        <v>24</v>
      </c>
      <c r="E21" s="13" t="s">
        <v>63</v>
      </c>
      <c r="F21" s="22" t="s">
        <v>4</v>
      </c>
      <c r="G21" s="13" t="s">
        <v>0</v>
      </c>
      <c r="H21" s="12" t="s">
        <v>215</v>
      </c>
      <c r="I21" s="11">
        <v>2000</v>
      </c>
      <c r="J21" s="10">
        <v>1000</v>
      </c>
      <c r="K21" s="9">
        <v>1000</v>
      </c>
      <c r="L21" s="8">
        <f t="shared" si="0"/>
        <v>0</v>
      </c>
    </row>
    <row r="22" spans="1:12" ht="169.5" customHeight="1" thickBot="1" x14ac:dyDescent="0.3">
      <c r="A22" s="47"/>
      <c r="B22" s="24" t="s">
        <v>66</v>
      </c>
      <c r="C22" s="12" t="s">
        <v>62</v>
      </c>
      <c r="D22" s="12" t="s">
        <v>24</v>
      </c>
      <c r="E22" s="13" t="s">
        <v>63</v>
      </c>
      <c r="F22" s="22" t="s">
        <v>4</v>
      </c>
      <c r="G22" s="13" t="s">
        <v>0</v>
      </c>
      <c r="H22" s="12" t="s">
        <v>215</v>
      </c>
      <c r="I22" s="11">
        <v>1000</v>
      </c>
      <c r="J22" s="10"/>
      <c r="K22" s="9">
        <v>1000</v>
      </c>
      <c r="L22" s="8">
        <f t="shared" si="0"/>
        <v>0</v>
      </c>
    </row>
    <row r="23" spans="1:12" ht="169.5" customHeight="1" thickBot="1" x14ac:dyDescent="0.3">
      <c r="A23" s="47"/>
      <c r="B23" s="24" t="s">
        <v>35</v>
      </c>
      <c r="C23" s="12" t="s">
        <v>34</v>
      </c>
      <c r="D23" s="12" t="s">
        <v>24</v>
      </c>
      <c r="E23" s="13" t="s">
        <v>33</v>
      </c>
      <c r="F23" s="22" t="s">
        <v>4</v>
      </c>
      <c r="G23" s="13" t="s">
        <v>0</v>
      </c>
      <c r="H23" s="12" t="s">
        <v>187</v>
      </c>
      <c r="I23" s="11">
        <v>2000</v>
      </c>
      <c r="J23" s="10"/>
      <c r="K23" s="9">
        <v>2000</v>
      </c>
      <c r="L23" s="8">
        <f t="shared" si="0"/>
        <v>0</v>
      </c>
    </row>
    <row r="24" spans="1:12" ht="169.5" customHeight="1" thickBot="1" x14ac:dyDescent="0.3">
      <c r="A24" s="47"/>
      <c r="B24" s="24" t="s">
        <v>61</v>
      </c>
      <c r="C24" s="12" t="s">
        <v>31</v>
      </c>
      <c r="D24" s="12" t="s">
        <v>24</v>
      </c>
      <c r="E24" s="13" t="s">
        <v>78</v>
      </c>
      <c r="F24" s="22" t="s">
        <v>4</v>
      </c>
      <c r="G24" s="13" t="s">
        <v>0</v>
      </c>
      <c r="H24" s="12" t="s">
        <v>215</v>
      </c>
      <c r="I24" s="11">
        <v>2000</v>
      </c>
      <c r="J24" s="10"/>
      <c r="K24" s="9">
        <v>2000</v>
      </c>
      <c r="L24" s="8">
        <f t="shared" si="0"/>
        <v>0</v>
      </c>
    </row>
    <row r="25" spans="1:12" ht="169.5" customHeight="1" thickBot="1" x14ac:dyDescent="0.3">
      <c r="A25" s="47"/>
      <c r="B25" s="24" t="s">
        <v>61</v>
      </c>
      <c r="C25" s="12" t="s">
        <v>31</v>
      </c>
      <c r="D25" s="12" t="s">
        <v>24</v>
      </c>
      <c r="E25" s="13" t="s">
        <v>71</v>
      </c>
      <c r="F25" s="22" t="s">
        <v>4</v>
      </c>
      <c r="G25" s="13" t="s">
        <v>0</v>
      </c>
      <c r="H25" s="12" t="s">
        <v>215</v>
      </c>
      <c r="I25" s="11">
        <v>1000</v>
      </c>
      <c r="J25" s="10"/>
      <c r="K25" s="9">
        <v>1000</v>
      </c>
      <c r="L25" s="8">
        <f t="shared" si="0"/>
        <v>0</v>
      </c>
    </row>
    <row r="26" spans="1:12" ht="169.5" customHeight="1" thickBot="1" x14ac:dyDescent="0.3">
      <c r="A26" s="47"/>
      <c r="B26" s="24" t="s">
        <v>32</v>
      </c>
      <c r="C26" s="12" t="s">
        <v>31</v>
      </c>
      <c r="D26" s="12" t="s">
        <v>24</v>
      </c>
      <c r="E26" s="13" t="s">
        <v>116</v>
      </c>
      <c r="F26" s="22" t="s">
        <v>9</v>
      </c>
      <c r="G26" s="13" t="s">
        <v>0</v>
      </c>
      <c r="H26" s="12" t="s">
        <v>218</v>
      </c>
      <c r="I26" s="11">
        <v>2000</v>
      </c>
      <c r="J26" s="10"/>
      <c r="K26" s="9">
        <v>2000</v>
      </c>
      <c r="L26" s="8">
        <f t="shared" si="0"/>
        <v>0</v>
      </c>
    </row>
    <row r="27" spans="1:12" ht="169.5" customHeight="1" thickBot="1" x14ac:dyDescent="0.3">
      <c r="A27" s="47"/>
      <c r="B27" s="24" t="s">
        <v>40</v>
      </c>
      <c r="C27" s="12" t="s">
        <v>27</v>
      </c>
      <c r="D27" s="12" t="s">
        <v>24</v>
      </c>
      <c r="E27" s="13" t="s">
        <v>197</v>
      </c>
      <c r="F27" s="22" t="s">
        <v>4</v>
      </c>
      <c r="G27" s="13" t="s">
        <v>0</v>
      </c>
      <c r="H27" s="12" t="s">
        <v>215</v>
      </c>
      <c r="I27" s="11">
        <v>700</v>
      </c>
      <c r="J27" s="10">
        <v>700</v>
      </c>
      <c r="K27" s="9"/>
      <c r="L27" s="8">
        <f t="shared" si="0"/>
        <v>0</v>
      </c>
    </row>
    <row r="28" spans="1:12" ht="169.5" customHeight="1" thickBot="1" x14ac:dyDescent="0.3">
      <c r="A28" s="47"/>
      <c r="B28" s="24" t="s">
        <v>38</v>
      </c>
      <c r="C28" s="12" t="s">
        <v>15</v>
      </c>
      <c r="D28" s="12" t="s">
        <v>24</v>
      </c>
      <c r="E28" s="13" t="s">
        <v>96</v>
      </c>
      <c r="F28" s="22" t="s">
        <v>4</v>
      </c>
      <c r="G28" s="13" t="s">
        <v>0</v>
      </c>
      <c r="H28" s="12" t="s">
        <v>215</v>
      </c>
      <c r="I28" s="11">
        <v>1500</v>
      </c>
      <c r="J28" s="10"/>
      <c r="K28" s="9">
        <v>1500</v>
      </c>
      <c r="L28" s="8">
        <f t="shared" si="0"/>
        <v>0</v>
      </c>
    </row>
    <row r="29" spans="1:12" ht="169.5" customHeight="1" thickBot="1" x14ac:dyDescent="0.3">
      <c r="A29" s="47"/>
      <c r="B29" s="24" t="s">
        <v>77</v>
      </c>
      <c r="C29" s="12" t="s">
        <v>27</v>
      </c>
      <c r="D29" s="12" t="s">
        <v>24</v>
      </c>
      <c r="E29" s="13" t="s">
        <v>76</v>
      </c>
      <c r="F29" s="22" t="s">
        <v>4</v>
      </c>
      <c r="G29" s="13" t="s">
        <v>0</v>
      </c>
      <c r="H29" s="12" t="s">
        <v>187</v>
      </c>
      <c r="I29" s="11">
        <v>1000</v>
      </c>
      <c r="J29" s="10"/>
      <c r="K29" s="9">
        <v>1000</v>
      </c>
      <c r="L29" s="8">
        <f t="shared" si="0"/>
        <v>0</v>
      </c>
    </row>
    <row r="30" spans="1:12" ht="169.5" customHeight="1" thickBot="1" x14ac:dyDescent="0.3">
      <c r="A30" s="47"/>
      <c r="B30" s="24" t="s">
        <v>77</v>
      </c>
      <c r="C30" s="12" t="s">
        <v>27</v>
      </c>
      <c r="D30" s="12" t="s">
        <v>24</v>
      </c>
      <c r="E30" s="13" t="s">
        <v>76</v>
      </c>
      <c r="F30" s="22" t="s">
        <v>4</v>
      </c>
      <c r="G30" s="13" t="s">
        <v>0</v>
      </c>
      <c r="H30" s="12" t="s">
        <v>215</v>
      </c>
      <c r="I30" s="11">
        <v>1767</v>
      </c>
      <c r="J30" s="10"/>
      <c r="K30" s="9">
        <v>1767</v>
      </c>
      <c r="L30" s="8">
        <f t="shared" si="0"/>
        <v>0</v>
      </c>
    </row>
    <row r="31" spans="1:12" ht="169.5" customHeight="1" thickBot="1" x14ac:dyDescent="0.3">
      <c r="A31" s="47"/>
      <c r="B31" s="24" t="s">
        <v>157</v>
      </c>
      <c r="C31" s="12" t="s">
        <v>26</v>
      </c>
      <c r="D31" s="12" t="s">
        <v>24</v>
      </c>
      <c r="E31" s="13" t="s">
        <v>25</v>
      </c>
      <c r="F31" s="22" t="s">
        <v>4</v>
      </c>
      <c r="G31" s="13" t="s">
        <v>0</v>
      </c>
      <c r="H31" s="12" t="s">
        <v>215</v>
      </c>
      <c r="I31" s="11">
        <v>1500</v>
      </c>
      <c r="J31" s="10">
        <v>1000</v>
      </c>
      <c r="K31" s="9">
        <v>500</v>
      </c>
      <c r="L31" s="8">
        <f t="shared" si="0"/>
        <v>0</v>
      </c>
    </row>
    <row r="32" spans="1:12" ht="169.5" customHeight="1" thickBot="1" x14ac:dyDescent="0.3">
      <c r="A32" s="47"/>
      <c r="B32" s="24" t="s">
        <v>157</v>
      </c>
      <c r="C32" s="12" t="s">
        <v>26</v>
      </c>
      <c r="D32" s="12" t="s">
        <v>24</v>
      </c>
      <c r="E32" s="13" t="s">
        <v>25</v>
      </c>
      <c r="F32" s="22" t="s">
        <v>4</v>
      </c>
      <c r="G32" s="13" t="s">
        <v>0</v>
      </c>
      <c r="H32" s="12" t="s">
        <v>215</v>
      </c>
      <c r="I32" s="11">
        <v>1000</v>
      </c>
      <c r="J32" s="10"/>
      <c r="K32" s="9">
        <v>1000</v>
      </c>
      <c r="L32" s="8">
        <f t="shared" si="0"/>
        <v>0</v>
      </c>
    </row>
    <row r="33" spans="1:12" ht="169.5" customHeight="1" thickBot="1" x14ac:dyDescent="0.3">
      <c r="A33" s="47"/>
      <c r="B33" s="24" t="s">
        <v>112</v>
      </c>
      <c r="C33" s="12" t="s">
        <v>113</v>
      </c>
      <c r="D33" s="12" t="s">
        <v>24</v>
      </c>
      <c r="E33" s="13" t="s">
        <v>114</v>
      </c>
      <c r="F33" s="22" t="s">
        <v>4</v>
      </c>
      <c r="G33" s="13" t="s">
        <v>0</v>
      </c>
      <c r="H33" s="12" t="s">
        <v>215</v>
      </c>
      <c r="I33" s="11">
        <v>2891</v>
      </c>
      <c r="J33" s="10"/>
      <c r="K33" s="9">
        <v>2891</v>
      </c>
      <c r="L33" s="8">
        <f t="shared" si="0"/>
        <v>0</v>
      </c>
    </row>
    <row r="34" spans="1:12" ht="169.5" customHeight="1" thickBot="1" x14ac:dyDescent="0.3">
      <c r="A34" s="48"/>
      <c r="B34" s="24" t="s">
        <v>112</v>
      </c>
      <c r="C34" s="12" t="s">
        <v>113</v>
      </c>
      <c r="D34" s="12" t="s">
        <v>24</v>
      </c>
      <c r="E34" s="13" t="s">
        <v>114</v>
      </c>
      <c r="F34" s="22" t="s">
        <v>4</v>
      </c>
      <c r="G34" s="13" t="s">
        <v>0</v>
      </c>
      <c r="H34" s="12" t="s">
        <v>215</v>
      </c>
      <c r="I34" s="11">
        <v>1000</v>
      </c>
      <c r="J34" s="10"/>
      <c r="K34" s="9">
        <v>1000</v>
      </c>
      <c r="L34" s="8">
        <f t="shared" si="0"/>
        <v>0</v>
      </c>
    </row>
    <row r="35" spans="1:12" ht="169.5" customHeight="1" thickBot="1" x14ac:dyDescent="0.3">
      <c r="A35" s="46" t="s">
        <v>23</v>
      </c>
      <c r="B35" s="24" t="s">
        <v>12</v>
      </c>
      <c r="C35" s="12" t="s">
        <v>6</v>
      </c>
      <c r="D35" s="12" t="s">
        <v>20</v>
      </c>
      <c r="E35" s="13" t="s">
        <v>22</v>
      </c>
      <c r="F35" s="22" t="s">
        <v>4</v>
      </c>
      <c r="G35" s="13" t="s">
        <v>0</v>
      </c>
      <c r="H35" s="12" t="s">
        <v>215</v>
      </c>
      <c r="I35" s="11">
        <v>3398</v>
      </c>
      <c r="J35" s="10">
        <v>1000</v>
      </c>
      <c r="K35" s="9">
        <v>2397</v>
      </c>
      <c r="L35" s="8">
        <f t="shared" si="0"/>
        <v>-1</v>
      </c>
    </row>
    <row r="36" spans="1:12" ht="169.5" customHeight="1" thickBot="1" x14ac:dyDescent="0.3">
      <c r="A36" s="47"/>
      <c r="B36" s="31" t="s">
        <v>21</v>
      </c>
      <c r="C36" s="12" t="s">
        <v>3</v>
      </c>
      <c r="D36" s="12" t="s">
        <v>20</v>
      </c>
      <c r="E36" s="13" t="s">
        <v>56</v>
      </c>
      <c r="F36" s="22" t="s">
        <v>9</v>
      </c>
      <c r="G36" s="13" t="s">
        <v>0</v>
      </c>
      <c r="H36" s="12" t="s">
        <v>187</v>
      </c>
      <c r="I36" s="11">
        <v>8000</v>
      </c>
      <c r="J36" s="10"/>
      <c r="K36" s="9">
        <v>8000</v>
      </c>
      <c r="L36" s="8">
        <f t="shared" si="0"/>
        <v>0</v>
      </c>
    </row>
    <row r="37" spans="1:12" ht="169.5" customHeight="1" thickBot="1" x14ac:dyDescent="0.3">
      <c r="A37" s="47"/>
      <c r="B37" s="31" t="s">
        <v>21</v>
      </c>
      <c r="C37" s="12" t="s">
        <v>3</v>
      </c>
      <c r="D37" s="12" t="s">
        <v>20</v>
      </c>
      <c r="E37" s="13" t="s">
        <v>57</v>
      </c>
      <c r="F37" s="22" t="s">
        <v>9</v>
      </c>
      <c r="G37" s="13" t="s">
        <v>0</v>
      </c>
      <c r="H37" s="12" t="s">
        <v>187</v>
      </c>
      <c r="I37" s="11">
        <v>3000</v>
      </c>
      <c r="J37" s="10"/>
      <c r="K37" s="9">
        <v>3000</v>
      </c>
      <c r="L37" s="8">
        <f t="shared" si="0"/>
        <v>0</v>
      </c>
    </row>
    <row r="38" spans="1:12" ht="169.5" customHeight="1" thickBot="1" x14ac:dyDescent="0.3">
      <c r="A38" s="47"/>
      <c r="B38" s="31" t="s">
        <v>21</v>
      </c>
      <c r="C38" s="12" t="s">
        <v>3</v>
      </c>
      <c r="D38" s="12" t="s">
        <v>20</v>
      </c>
      <c r="E38" s="13" t="s">
        <v>56</v>
      </c>
      <c r="F38" s="22" t="s">
        <v>9</v>
      </c>
      <c r="G38" s="13" t="s">
        <v>0</v>
      </c>
      <c r="H38" s="12" t="s">
        <v>215</v>
      </c>
      <c r="I38" s="11">
        <v>5000</v>
      </c>
      <c r="J38" s="10"/>
      <c r="K38" s="9">
        <v>5000</v>
      </c>
      <c r="L38" s="8">
        <f t="shared" si="0"/>
        <v>0</v>
      </c>
    </row>
    <row r="39" spans="1:12" ht="169.5" customHeight="1" thickBot="1" x14ac:dyDescent="0.3">
      <c r="A39" s="48"/>
      <c r="B39" s="31" t="s">
        <v>21</v>
      </c>
      <c r="C39" s="12" t="s">
        <v>3</v>
      </c>
      <c r="D39" s="12" t="s">
        <v>20</v>
      </c>
      <c r="E39" s="13" t="s">
        <v>57</v>
      </c>
      <c r="F39" s="22" t="s">
        <v>9</v>
      </c>
      <c r="G39" s="13" t="s">
        <v>0</v>
      </c>
      <c r="H39" s="12" t="s">
        <v>215</v>
      </c>
      <c r="I39" s="11">
        <v>5000</v>
      </c>
      <c r="J39" s="10"/>
      <c r="K39" s="9">
        <v>5000</v>
      </c>
      <c r="L39" s="8">
        <f t="shared" si="0"/>
        <v>0</v>
      </c>
    </row>
    <row r="40" spans="1:12" ht="169.5" customHeight="1" thickBot="1" x14ac:dyDescent="0.3">
      <c r="A40" s="46" t="s">
        <v>19</v>
      </c>
      <c r="B40" s="31" t="s">
        <v>7</v>
      </c>
      <c r="C40" s="12" t="s">
        <v>15</v>
      </c>
      <c r="D40" s="12" t="s">
        <v>14</v>
      </c>
      <c r="E40" s="13" t="s">
        <v>58</v>
      </c>
      <c r="F40" s="22" t="s">
        <v>4</v>
      </c>
      <c r="G40" s="13" t="s">
        <v>0</v>
      </c>
      <c r="H40" s="12" t="s">
        <v>215</v>
      </c>
      <c r="I40" s="11">
        <v>2690</v>
      </c>
      <c r="J40" s="10"/>
      <c r="K40" s="9">
        <v>2690</v>
      </c>
      <c r="L40" s="8">
        <f t="shared" si="0"/>
        <v>0</v>
      </c>
    </row>
    <row r="41" spans="1:12" ht="169.5" customHeight="1" thickBot="1" x14ac:dyDescent="0.3">
      <c r="A41" s="47"/>
      <c r="B41" s="31" t="s">
        <v>7</v>
      </c>
      <c r="C41" s="12" t="s">
        <v>15</v>
      </c>
      <c r="D41" s="12" t="s">
        <v>14</v>
      </c>
      <c r="E41" s="13" t="s">
        <v>13</v>
      </c>
      <c r="F41" s="22" t="s">
        <v>4</v>
      </c>
      <c r="G41" s="13" t="s">
        <v>0</v>
      </c>
      <c r="H41" s="12" t="s">
        <v>215</v>
      </c>
      <c r="I41" s="11">
        <v>7038</v>
      </c>
      <c r="J41" s="10"/>
      <c r="K41" s="9">
        <v>7038</v>
      </c>
      <c r="L41" s="8">
        <f t="shared" si="0"/>
        <v>0</v>
      </c>
    </row>
    <row r="42" spans="1:12" ht="169.5" customHeight="1" thickBot="1" x14ac:dyDescent="0.3">
      <c r="A42" s="47"/>
      <c r="B42" s="31" t="s">
        <v>7</v>
      </c>
      <c r="C42" s="12" t="s">
        <v>15</v>
      </c>
      <c r="D42" s="12" t="s">
        <v>14</v>
      </c>
      <c r="E42" s="13" t="s">
        <v>65</v>
      </c>
      <c r="F42" s="22" t="s">
        <v>4</v>
      </c>
      <c r="G42" s="13" t="s">
        <v>0</v>
      </c>
      <c r="H42" s="12" t="s">
        <v>215</v>
      </c>
      <c r="I42" s="11">
        <v>480</v>
      </c>
      <c r="J42" s="10"/>
      <c r="K42" s="9">
        <v>480</v>
      </c>
      <c r="L42" s="8">
        <f t="shared" si="0"/>
        <v>0</v>
      </c>
    </row>
    <row r="43" spans="1:12" ht="169.5" customHeight="1" thickBot="1" x14ac:dyDescent="0.3">
      <c r="A43" s="47"/>
      <c r="B43" s="31" t="s">
        <v>7</v>
      </c>
      <c r="C43" s="12" t="s">
        <v>15</v>
      </c>
      <c r="D43" s="12" t="s">
        <v>14</v>
      </c>
      <c r="E43" s="13" t="s">
        <v>13</v>
      </c>
      <c r="F43" s="22" t="s">
        <v>4</v>
      </c>
      <c r="G43" s="13" t="s">
        <v>0</v>
      </c>
      <c r="H43" s="12" t="s">
        <v>215</v>
      </c>
      <c r="I43" s="11">
        <v>3000</v>
      </c>
      <c r="J43" s="10"/>
      <c r="K43" s="9">
        <v>3000</v>
      </c>
      <c r="L43" s="8">
        <f t="shared" si="0"/>
        <v>0</v>
      </c>
    </row>
    <row r="44" spans="1:12" ht="169.5" customHeight="1" thickBot="1" x14ac:dyDescent="0.3">
      <c r="A44" s="47"/>
      <c r="B44" s="31" t="s">
        <v>7</v>
      </c>
      <c r="C44" s="12" t="s">
        <v>15</v>
      </c>
      <c r="D44" s="12" t="s">
        <v>14</v>
      </c>
      <c r="E44" s="13" t="s">
        <v>58</v>
      </c>
      <c r="F44" s="22" t="s">
        <v>4</v>
      </c>
      <c r="G44" s="13" t="s">
        <v>0</v>
      </c>
      <c r="H44" s="12" t="s">
        <v>215</v>
      </c>
      <c r="I44" s="11">
        <v>1000</v>
      </c>
      <c r="J44" s="10"/>
      <c r="K44" s="9">
        <v>1000</v>
      </c>
      <c r="L44" s="8">
        <f t="shared" si="0"/>
        <v>0</v>
      </c>
    </row>
    <row r="45" spans="1:12" ht="169.5" customHeight="1" thickBot="1" x14ac:dyDescent="0.3">
      <c r="A45" s="47"/>
      <c r="B45" s="31" t="s">
        <v>12</v>
      </c>
      <c r="C45" s="12" t="s">
        <v>3</v>
      </c>
      <c r="D45" s="12" t="s">
        <v>11</v>
      </c>
      <c r="E45" s="13" t="s">
        <v>10</v>
      </c>
      <c r="F45" s="22" t="s">
        <v>4</v>
      </c>
      <c r="G45" s="13" t="s">
        <v>0</v>
      </c>
      <c r="H45" s="12" t="s">
        <v>215</v>
      </c>
      <c r="I45" s="11">
        <v>7017</v>
      </c>
      <c r="J45" s="10"/>
      <c r="K45" s="9">
        <v>7017</v>
      </c>
      <c r="L45" s="8">
        <f t="shared" si="0"/>
        <v>0</v>
      </c>
    </row>
    <row r="46" spans="1:12" ht="169.5" customHeight="1" thickBot="1" x14ac:dyDescent="0.3">
      <c r="A46" s="47"/>
      <c r="B46" s="31" t="s">
        <v>12</v>
      </c>
      <c r="C46" s="12" t="s">
        <v>3</v>
      </c>
      <c r="D46" s="12" t="s">
        <v>11</v>
      </c>
      <c r="E46" s="13" t="s">
        <v>10</v>
      </c>
      <c r="F46" s="22" t="s">
        <v>9</v>
      </c>
      <c r="G46" s="13" t="s">
        <v>0</v>
      </c>
      <c r="H46" s="12" t="s">
        <v>215</v>
      </c>
      <c r="I46" s="11">
        <v>6000</v>
      </c>
      <c r="J46" s="10"/>
      <c r="K46" s="9">
        <v>6000</v>
      </c>
      <c r="L46" s="8">
        <f t="shared" si="0"/>
        <v>0</v>
      </c>
    </row>
    <row r="47" spans="1:12" ht="169.5" customHeight="1" thickBot="1" x14ac:dyDescent="0.3">
      <c r="A47" s="47"/>
      <c r="B47" s="31" t="s">
        <v>7</v>
      </c>
      <c r="C47" s="12" t="s">
        <v>6</v>
      </c>
      <c r="D47" s="12" t="s">
        <v>1</v>
      </c>
      <c r="E47" s="13" t="s">
        <v>5</v>
      </c>
      <c r="F47" s="22" t="s">
        <v>4</v>
      </c>
      <c r="G47" s="13" t="s">
        <v>0</v>
      </c>
      <c r="H47" s="12" t="s">
        <v>215</v>
      </c>
      <c r="I47" s="11">
        <v>5338</v>
      </c>
      <c r="J47" s="10">
        <v>2000</v>
      </c>
      <c r="K47" s="9">
        <v>3338</v>
      </c>
      <c r="L47" s="8">
        <f t="shared" si="0"/>
        <v>0</v>
      </c>
    </row>
    <row r="48" spans="1:12" ht="169.5" customHeight="1" thickBot="1" x14ac:dyDescent="0.3">
      <c r="A48" s="48"/>
      <c r="B48" s="31" t="s">
        <v>194</v>
      </c>
      <c r="C48" s="12" t="s">
        <v>118</v>
      </c>
      <c r="D48" s="12" t="s">
        <v>1</v>
      </c>
      <c r="E48" s="13" t="s">
        <v>216</v>
      </c>
      <c r="F48" s="22" t="s">
        <v>122</v>
      </c>
      <c r="G48" s="13" t="s">
        <v>0</v>
      </c>
      <c r="H48" s="12" t="s">
        <v>187</v>
      </c>
      <c r="I48" s="11">
        <v>5000</v>
      </c>
      <c r="J48" s="10"/>
      <c r="K48" s="9">
        <v>5000</v>
      </c>
      <c r="L48" s="8">
        <f t="shared" si="0"/>
        <v>0</v>
      </c>
    </row>
  </sheetData>
  <autoFilter ref="A2:L38"/>
  <dataConsolidate/>
  <mergeCells count="5">
    <mergeCell ref="A20:A34"/>
    <mergeCell ref="A35:A39"/>
    <mergeCell ref="A40:A48"/>
    <mergeCell ref="A3:A19"/>
    <mergeCell ref="A1:L1"/>
  </mergeCells>
  <conditionalFormatting sqref="I2 L37:L48 K4:L36 I4:I36">
    <cfRule type="cellIs" dxfId="152" priority="4" operator="lessThan">
      <formula>0</formula>
    </cfRule>
  </conditionalFormatting>
  <conditionalFormatting sqref="L2">
    <cfRule type="cellIs" dxfId="151" priority="3" operator="lessThan">
      <formula>0</formula>
    </cfRule>
  </conditionalFormatting>
  <conditionalFormatting sqref="I37:I48 K37:K48">
    <cfRule type="cellIs" dxfId="150" priority="2" operator="lessThan">
      <formula>0</formula>
    </cfRule>
  </conditionalFormatting>
  <conditionalFormatting sqref="K3:L3 I3">
    <cfRule type="cellIs" dxfId="149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5"/>
  <sheetViews>
    <sheetView showGridLines="0" view="pageBreakPreview" topLeftCell="A28" zoomScale="20" zoomScaleNormal="27" zoomScaleSheetLayoutView="20" workbookViewId="0">
      <selection activeCell="K26" sqref="K26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234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218</v>
      </c>
      <c r="I3" s="11">
        <v>2000</v>
      </c>
      <c r="J3" s="10">
        <v>1000</v>
      </c>
      <c r="K3" s="9">
        <v>1000</v>
      </c>
      <c r="L3" s="8">
        <f t="shared" ref="L3:L45" si="0">K3+J3-I3</f>
        <v>0</v>
      </c>
    </row>
    <row r="4" spans="1:12" ht="150.75" customHeight="1" thickBot="1" x14ac:dyDescent="0.3">
      <c r="A4" s="47"/>
      <c r="B4" s="13" t="s">
        <v>136</v>
      </c>
      <c r="C4" s="12" t="s">
        <v>235</v>
      </c>
      <c r="D4" s="12" t="s">
        <v>126</v>
      </c>
      <c r="E4" s="13" t="s">
        <v>236</v>
      </c>
      <c r="F4" s="22" t="s">
        <v>122</v>
      </c>
      <c r="G4" s="13" t="s">
        <v>0</v>
      </c>
      <c r="H4" s="12" t="s">
        <v>229</v>
      </c>
      <c r="I4" s="11">
        <v>3000</v>
      </c>
      <c r="J4" s="10">
        <v>1000</v>
      </c>
      <c r="K4" s="9">
        <v>2000</v>
      </c>
      <c r="L4" s="8">
        <f t="shared" si="0"/>
        <v>0</v>
      </c>
    </row>
    <row r="5" spans="1:12" ht="150.75" customHeight="1" thickBot="1" x14ac:dyDescent="0.3">
      <c r="A5" s="47"/>
      <c r="B5" s="13" t="s">
        <v>136</v>
      </c>
      <c r="C5" s="12" t="s">
        <v>118</v>
      </c>
      <c r="D5" s="12" t="s">
        <v>126</v>
      </c>
      <c r="E5" s="13" t="s">
        <v>221</v>
      </c>
      <c r="F5" s="22" t="s">
        <v>122</v>
      </c>
      <c r="G5" s="13" t="s">
        <v>0</v>
      </c>
      <c r="H5" s="12" t="s">
        <v>218</v>
      </c>
      <c r="I5" s="11">
        <v>2000</v>
      </c>
      <c r="J5" s="10"/>
      <c r="K5" s="9">
        <v>2000</v>
      </c>
      <c r="L5" s="8">
        <f t="shared" si="0"/>
        <v>0</v>
      </c>
    </row>
    <row r="6" spans="1:12" ht="150.75" customHeight="1" thickBot="1" x14ac:dyDescent="0.3">
      <c r="A6" s="47"/>
      <c r="B6" s="13" t="s">
        <v>136</v>
      </c>
      <c r="C6" s="12" t="s">
        <v>3</v>
      </c>
      <c r="D6" s="12" t="s">
        <v>126</v>
      </c>
      <c r="E6" s="13" t="s">
        <v>153</v>
      </c>
      <c r="F6" s="22" t="s">
        <v>122</v>
      </c>
      <c r="G6" s="13" t="s">
        <v>0</v>
      </c>
      <c r="H6" s="12" t="s">
        <v>237</v>
      </c>
      <c r="I6" s="11">
        <v>5000</v>
      </c>
      <c r="J6" s="10"/>
      <c r="K6" s="9">
        <v>5000</v>
      </c>
      <c r="L6" s="8">
        <f t="shared" si="0"/>
        <v>0</v>
      </c>
    </row>
    <row r="7" spans="1:12" ht="150.75" customHeight="1" thickBot="1" x14ac:dyDescent="0.3">
      <c r="A7" s="47"/>
      <c r="B7" s="13" t="s">
        <v>40</v>
      </c>
      <c r="C7" s="12" t="s">
        <v>100</v>
      </c>
      <c r="D7" s="12" t="s">
        <v>126</v>
      </c>
      <c r="E7" s="13" t="s">
        <v>238</v>
      </c>
      <c r="F7" s="22" t="s">
        <v>131</v>
      </c>
      <c r="G7" s="13" t="s">
        <v>37</v>
      </c>
      <c r="H7" s="12" t="s">
        <v>181</v>
      </c>
      <c r="I7" s="11">
        <v>2327</v>
      </c>
      <c r="J7" s="10">
        <v>1000</v>
      </c>
      <c r="K7" s="9">
        <v>1327</v>
      </c>
      <c r="L7" s="8">
        <f t="shared" si="0"/>
        <v>0</v>
      </c>
    </row>
    <row r="8" spans="1:12" ht="150.75" customHeight="1" thickBot="1" x14ac:dyDescent="0.3">
      <c r="A8" s="47"/>
      <c r="B8" s="13" t="s">
        <v>157</v>
      </c>
      <c r="C8" s="12" t="s">
        <v>26</v>
      </c>
      <c r="D8" s="12" t="s">
        <v>24</v>
      </c>
      <c r="E8" s="13" t="s">
        <v>25</v>
      </c>
      <c r="F8" s="22" t="s">
        <v>4</v>
      </c>
      <c r="G8" s="13" t="s">
        <v>0</v>
      </c>
      <c r="H8" s="12" t="s">
        <v>215</v>
      </c>
      <c r="I8" s="11">
        <v>2000</v>
      </c>
      <c r="J8" s="10"/>
      <c r="K8" s="9">
        <v>2000</v>
      </c>
      <c r="L8" s="8">
        <f t="shared" si="0"/>
        <v>0</v>
      </c>
    </row>
    <row r="9" spans="1:12" ht="150.75" customHeight="1" thickBot="1" x14ac:dyDescent="0.3">
      <c r="A9" s="47"/>
      <c r="B9" s="13" t="s">
        <v>157</v>
      </c>
      <c r="C9" s="12" t="s">
        <v>26</v>
      </c>
      <c r="D9" s="12" t="s">
        <v>24</v>
      </c>
      <c r="E9" s="13" t="s">
        <v>59</v>
      </c>
      <c r="F9" s="22" t="s">
        <v>4</v>
      </c>
      <c r="G9" s="13" t="s">
        <v>0</v>
      </c>
      <c r="H9" s="12" t="s">
        <v>215</v>
      </c>
      <c r="I9" s="11">
        <v>1403</v>
      </c>
      <c r="J9" s="10">
        <v>500</v>
      </c>
      <c r="K9" s="9">
        <v>903</v>
      </c>
      <c r="L9" s="8">
        <f t="shared" si="0"/>
        <v>0</v>
      </c>
    </row>
    <row r="10" spans="1:12" ht="150.75" customHeight="1" thickBot="1" x14ac:dyDescent="0.3">
      <c r="A10" s="47"/>
      <c r="B10" s="13" t="s">
        <v>35</v>
      </c>
      <c r="C10" s="12" t="s">
        <v>34</v>
      </c>
      <c r="D10" s="12" t="s">
        <v>24</v>
      </c>
      <c r="E10" s="13" t="s">
        <v>33</v>
      </c>
      <c r="F10" s="22" t="s">
        <v>4</v>
      </c>
      <c r="G10" s="13" t="s">
        <v>0</v>
      </c>
      <c r="H10" s="12" t="s">
        <v>215</v>
      </c>
      <c r="I10" s="11">
        <v>2000</v>
      </c>
      <c r="J10" s="10"/>
      <c r="K10" s="9">
        <v>2000</v>
      </c>
      <c r="L10" s="8">
        <f t="shared" si="0"/>
        <v>0</v>
      </c>
    </row>
    <row r="11" spans="1:12" ht="150.75" customHeight="1" thickBot="1" x14ac:dyDescent="0.3">
      <c r="A11" s="47"/>
      <c r="B11" s="13" t="s">
        <v>35</v>
      </c>
      <c r="C11" s="12" t="s">
        <v>34</v>
      </c>
      <c r="D11" s="12" t="s">
        <v>24</v>
      </c>
      <c r="E11" s="13" t="s">
        <v>33</v>
      </c>
      <c r="F11" s="22" t="s">
        <v>4</v>
      </c>
      <c r="G11" s="13" t="s">
        <v>0</v>
      </c>
      <c r="H11" s="12" t="s">
        <v>218</v>
      </c>
      <c r="I11" s="11">
        <v>1000</v>
      </c>
      <c r="J11" s="10"/>
      <c r="K11" s="9">
        <v>1000</v>
      </c>
      <c r="L11" s="8">
        <f t="shared" si="0"/>
        <v>0</v>
      </c>
    </row>
    <row r="12" spans="1:12" ht="150.75" customHeight="1" thickBot="1" x14ac:dyDescent="0.3">
      <c r="A12" s="47"/>
      <c r="B12" s="13" t="s">
        <v>66</v>
      </c>
      <c r="C12" s="12" t="s">
        <v>62</v>
      </c>
      <c r="D12" s="12" t="s">
        <v>24</v>
      </c>
      <c r="E12" s="13" t="s">
        <v>63</v>
      </c>
      <c r="F12" s="22" t="s">
        <v>4</v>
      </c>
      <c r="G12" s="13" t="s">
        <v>0</v>
      </c>
      <c r="H12" s="12" t="s">
        <v>215</v>
      </c>
      <c r="I12" s="11">
        <v>1500</v>
      </c>
      <c r="J12" s="10"/>
      <c r="K12" s="9">
        <v>1500</v>
      </c>
      <c r="L12" s="8">
        <f t="shared" si="0"/>
        <v>0</v>
      </c>
    </row>
    <row r="13" spans="1:12" ht="150.75" customHeight="1" thickBot="1" x14ac:dyDescent="0.3">
      <c r="A13" s="47"/>
      <c r="B13" s="13" t="s">
        <v>38</v>
      </c>
      <c r="C13" s="12" t="s">
        <v>15</v>
      </c>
      <c r="D13" s="12" t="s">
        <v>24</v>
      </c>
      <c r="E13" s="13" t="s">
        <v>96</v>
      </c>
      <c r="F13" s="22" t="s">
        <v>4</v>
      </c>
      <c r="G13" s="13" t="s">
        <v>0</v>
      </c>
      <c r="H13" s="12" t="s">
        <v>215</v>
      </c>
      <c r="I13" s="11">
        <v>1500</v>
      </c>
      <c r="J13" s="10"/>
      <c r="K13" s="9">
        <v>1500</v>
      </c>
      <c r="L13" s="8">
        <f t="shared" si="0"/>
        <v>0</v>
      </c>
    </row>
    <row r="14" spans="1:12" ht="150.75" customHeight="1" thickBot="1" x14ac:dyDescent="0.3">
      <c r="A14" s="47"/>
      <c r="B14" s="13" t="s">
        <v>38</v>
      </c>
      <c r="C14" s="12" t="s">
        <v>15</v>
      </c>
      <c r="D14" s="12" t="s">
        <v>24</v>
      </c>
      <c r="E14" s="13" t="s">
        <v>96</v>
      </c>
      <c r="F14" s="22" t="s">
        <v>4</v>
      </c>
      <c r="G14" s="13" t="s">
        <v>0</v>
      </c>
      <c r="H14" s="12" t="s">
        <v>218</v>
      </c>
      <c r="I14" s="11">
        <v>2000</v>
      </c>
      <c r="J14" s="10"/>
      <c r="K14" s="9">
        <v>2000</v>
      </c>
      <c r="L14" s="8">
        <f t="shared" si="0"/>
        <v>0</v>
      </c>
    </row>
    <row r="15" spans="1:12" ht="150.75" customHeight="1" thickBot="1" x14ac:dyDescent="0.3">
      <c r="A15" s="47"/>
      <c r="B15" s="13" t="s">
        <v>77</v>
      </c>
      <c r="C15" s="12" t="s">
        <v>27</v>
      </c>
      <c r="D15" s="12" t="s">
        <v>24</v>
      </c>
      <c r="E15" s="13" t="s">
        <v>76</v>
      </c>
      <c r="F15" s="22" t="s">
        <v>4</v>
      </c>
      <c r="G15" s="13" t="s">
        <v>0</v>
      </c>
      <c r="H15" s="12" t="s">
        <v>215</v>
      </c>
      <c r="I15" s="11">
        <v>5000</v>
      </c>
      <c r="J15" s="10"/>
      <c r="K15" s="9">
        <f>1500+1500+2000</f>
        <v>5000</v>
      </c>
      <c r="L15" s="8">
        <f t="shared" si="0"/>
        <v>0</v>
      </c>
    </row>
    <row r="16" spans="1:12" ht="150.75" customHeight="1" thickBot="1" x14ac:dyDescent="0.3">
      <c r="A16" s="47"/>
      <c r="B16" s="13" t="s">
        <v>77</v>
      </c>
      <c r="C16" s="12" t="s">
        <v>27</v>
      </c>
      <c r="D16" s="12" t="s">
        <v>24</v>
      </c>
      <c r="E16" s="13" t="s">
        <v>197</v>
      </c>
      <c r="F16" s="22" t="s">
        <v>4</v>
      </c>
      <c r="G16" s="13" t="s">
        <v>0</v>
      </c>
      <c r="H16" s="12" t="s">
        <v>215</v>
      </c>
      <c r="I16" s="11">
        <v>2000</v>
      </c>
      <c r="J16" s="10"/>
      <c r="K16" s="9">
        <v>2000</v>
      </c>
      <c r="L16" s="8">
        <f t="shared" si="0"/>
        <v>0</v>
      </c>
    </row>
    <row r="17" spans="1:12" ht="150.75" customHeight="1" thickBot="1" x14ac:dyDescent="0.3">
      <c r="A17" s="47"/>
      <c r="B17" s="13" t="s">
        <v>112</v>
      </c>
      <c r="C17" s="12" t="s">
        <v>113</v>
      </c>
      <c r="D17" s="12" t="s">
        <v>24</v>
      </c>
      <c r="E17" s="13" t="s">
        <v>115</v>
      </c>
      <c r="F17" s="22" t="s">
        <v>9</v>
      </c>
      <c r="G17" s="13" t="s">
        <v>0</v>
      </c>
      <c r="H17" s="12" t="s">
        <v>215</v>
      </c>
      <c r="I17" s="11">
        <v>2500</v>
      </c>
      <c r="J17" s="10">
        <v>1000</v>
      </c>
      <c r="K17" s="9">
        <v>1500</v>
      </c>
      <c r="L17" s="8">
        <f t="shared" si="0"/>
        <v>0</v>
      </c>
    </row>
    <row r="18" spans="1:12" ht="150.75" customHeight="1" thickBot="1" x14ac:dyDescent="0.3">
      <c r="A18" s="47"/>
      <c r="B18" s="13" t="s">
        <v>112</v>
      </c>
      <c r="C18" s="12" t="s">
        <v>113</v>
      </c>
      <c r="D18" s="12" t="s">
        <v>24</v>
      </c>
      <c r="E18" s="13" t="s">
        <v>114</v>
      </c>
      <c r="F18" s="22" t="s">
        <v>4</v>
      </c>
      <c r="G18" s="13" t="s">
        <v>0</v>
      </c>
      <c r="H18" s="12" t="s">
        <v>215</v>
      </c>
      <c r="I18" s="11">
        <v>1000</v>
      </c>
      <c r="J18" s="10"/>
      <c r="K18" s="9">
        <v>1000</v>
      </c>
      <c r="L18" s="8">
        <f t="shared" si="0"/>
        <v>0</v>
      </c>
    </row>
    <row r="19" spans="1:12" ht="150.75" customHeight="1" thickBot="1" x14ac:dyDescent="0.3">
      <c r="A19" s="48"/>
      <c r="B19" s="13" t="s">
        <v>32</v>
      </c>
      <c r="C19" s="12" t="s">
        <v>31</v>
      </c>
      <c r="D19" s="12" t="s">
        <v>24</v>
      </c>
      <c r="E19" s="13" t="s">
        <v>71</v>
      </c>
      <c r="F19" s="22" t="s">
        <v>4</v>
      </c>
      <c r="G19" s="13" t="s">
        <v>0</v>
      </c>
      <c r="H19" s="12" t="s">
        <v>215</v>
      </c>
      <c r="I19" s="11">
        <v>1082</v>
      </c>
      <c r="J19" s="10"/>
      <c r="K19" s="9">
        <v>1082</v>
      </c>
      <c r="L19" s="8">
        <f t="shared" si="0"/>
        <v>0</v>
      </c>
    </row>
    <row r="20" spans="1:12" ht="150.75" customHeight="1" thickBot="1" x14ac:dyDescent="0.3">
      <c r="A20" s="46" t="s">
        <v>36</v>
      </c>
      <c r="B20" s="13" t="s">
        <v>239</v>
      </c>
      <c r="C20" s="12" t="s">
        <v>163</v>
      </c>
      <c r="D20" s="12" t="s">
        <v>24</v>
      </c>
      <c r="E20" s="23" t="s">
        <v>240</v>
      </c>
      <c r="F20" s="22" t="s">
        <v>102</v>
      </c>
      <c r="G20" s="13" t="s">
        <v>37</v>
      </c>
      <c r="H20" s="12" t="s">
        <v>79</v>
      </c>
      <c r="I20" s="11">
        <v>998</v>
      </c>
      <c r="J20" s="10"/>
      <c r="K20" s="9">
        <v>998</v>
      </c>
      <c r="L20" s="8">
        <f t="shared" si="0"/>
        <v>0</v>
      </c>
    </row>
    <row r="21" spans="1:12" ht="150.75" customHeight="1" thickBot="1" x14ac:dyDescent="0.3">
      <c r="A21" s="47"/>
      <c r="B21" s="13" t="s">
        <v>66</v>
      </c>
      <c r="C21" s="12" t="s">
        <v>62</v>
      </c>
      <c r="D21" s="12" t="s">
        <v>24</v>
      </c>
      <c r="E21" s="13" t="s">
        <v>63</v>
      </c>
      <c r="F21" s="22" t="s">
        <v>4</v>
      </c>
      <c r="G21" s="13" t="s">
        <v>0</v>
      </c>
      <c r="H21" s="12" t="s">
        <v>215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50.75" customHeight="1" thickBot="1" x14ac:dyDescent="0.3">
      <c r="A22" s="47"/>
      <c r="B22" s="13" t="s">
        <v>35</v>
      </c>
      <c r="C22" s="12" t="s">
        <v>34</v>
      </c>
      <c r="D22" s="12" t="s">
        <v>24</v>
      </c>
      <c r="E22" s="13" t="s">
        <v>33</v>
      </c>
      <c r="F22" s="22" t="s">
        <v>4</v>
      </c>
      <c r="G22" s="13" t="s">
        <v>0</v>
      </c>
      <c r="H22" s="12" t="s">
        <v>215</v>
      </c>
      <c r="I22" s="11">
        <v>3000</v>
      </c>
      <c r="J22" s="10"/>
      <c r="K22" s="9">
        <v>3000</v>
      </c>
      <c r="L22" s="8">
        <f t="shared" si="0"/>
        <v>0</v>
      </c>
    </row>
    <row r="23" spans="1:12" ht="150.75" customHeight="1" thickBot="1" x14ac:dyDescent="0.3">
      <c r="A23" s="47"/>
      <c r="B23" s="24" t="s">
        <v>61</v>
      </c>
      <c r="C23" s="12" t="s">
        <v>31</v>
      </c>
      <c r="D23" s="12" t="s">
        <v>24</v>
      </c>
      <c r="E23" s="13" t="s">
        <v>71</v>
      </c>
      <c r="F23" s="22" t="s">
        <v>4</v>
      </c>
      <c r="G23" s="13" t="s">
        <v>0</v>
      </c>
      <c r="H23" s="12" t="s">
        <v>215</v>
      </c>
      <c r="I23" s="11">
        <v>1082</v>
      </c>
      <c r="J23" s="10"/>
      <c r="K23" s="9">
        <v>1082</v>
      </c>
      <c r="L23" s="8">
        <f t="shared" si="0"/>
        <v>0</v>
      </c>
    </row>
    <row r="24" spans="1:12" ht="150.75" customHeight="1" thickBot="1" x14ac:dyDescent="0.3">
      <c r="A24" s="47"/>
      <c r="B24" s="24" t="s">
        <v>61</v>
      </c>
      <c r="C24" s="12" t="s">
        <v>31</v>
      </c>
      <c r="D24" s="12" t="s">
        <v>24</v>
      </c>
      <c r="E24" s="13" t="s">
        <v>97</v>
      </c>
      <c r="F24" s="22" t="s">
        <v>4</v>
      </c>
      <c r="G24" s="13" t="s">
        <v>0</v>
      </c>
      <c r="H24" s="12" t="s">
        <v>215</v>
      </c>
      <c r="I24" s="11">
        <v>1500</v>
      </c>
      <c r="J24" s="10">
        <v>1000</v>
      </c>
      <c r="K24" s="9">
        <v>500</v>
      </c>
      <c r="L24" s="8">
        <f t="shared" si="0"/>
        <v>0</v>
      </c>
    </row>
    <row r="25" spans="1:12" ht="150.75" customHeight="1" thickBot="1" x14ac:dyDescent="0.3">
      <c r="A25" s="47"/>
      <c r="B25" s="24" t="s">
        <v>32</v>
      </c>
      <c r="C25" s="12" t="s">
        <v>31</v>
      </c>
      <c r="D25" s="12" t="s">
        <v>24</v>
      </c>
      <c r="E25" s="13" t="s">
        <v>80</v>
      </c>
      <c r="F25" s="22" t="s">
        <v>9</v>
      </c>
      <c r="G25" s="13" t="s">
        <v>0</v>
      </c>
      <c r="H25" s="12" t="s">
        <v>215</v>
      </c>
      <c r="I25" s="11">
        <v>2220</v>
      </c>
      <c r="J25" s="10">
        <v>1000</v>
      </c>
      <c r="K25" s="9">
        <v>1220</v>
      </c>
      <c r="L25" s="8">
        <f t="shared" si="0"/>
        <v>0</v>
      </c>
    </row>
    <row r="26" spans="1:12" ht="150.75" customHeight="1" thickBot="1" x14ac:dyDescent="0.3">
      <c r="A26" s="47"/>
      <c r="B26" s="24" t="s">
        <v>40</v>
      </c>
      <c r="C26" s="12" t="s">
        <v>27</v>
      </c>
      <c r="D26" s="12" t="s">
        <v>24</v>
      </c>
      <c r="E26" s="13" t="s">
        <v>76</v>
      </c>
      <c r="F26" s="22" t="s">
        <v>4</v>
      </c>
      <c r="G26" s="13" t="s">
        <v>8</v>
      </c>
      <c r="H26" s="12" t="s">
        <v>215</v>
      </c>
      <c r="I26" s="11">
        <v>100</v>
      </c>
      <c r="J26" s="10"/>
      <c r="K26" s="9">
        <v>1000</v>
      </c>
      <c r="L26" s="8">
        <f t="shared" si="0"/>
        <v>900</v>
      </c>
    </row>
    <row r="27" spans="1:12" ht="150.75" customHeight="1" thickBot="1" x14ac:dyDescent="0.3">
      <c r="A27" s="47"/>
      <c r="B27" s="24" t="s">
        <v>40</v>
      </c>
      <c r="C27" s="12" t="s">
        <v>27</v>
      </c>
      <c r="D27" s="12" t="s">
        <v>24</v>
      </c>
      <c r="E27" s="13" t="s">
        <v>76</v>
      </c>
      <c r="F27" s="22" t="s">
        <v>4</v>
      </c>
      <c r="G27" s="13" t="s">
        <v>0</v>
      </c>
      <c r="H27" s="12" t="s">
        <v>215</v>
      </c>
      <c r="I27" s="11">
        <v>3500</v>
      </c>
      <c r="J27" s="10"/>
      <c r="K27" s="9">
        <v>3500</v>
      </c>
      <c r="L27" s="8">
        <f t="shared" si="0"/>
        <v>0</v>
      </c>
    </row>
    <row r="28" spans="1:12" ht="150.75" customHeight="1" thickBot="1" x14ac:dyDescent="0.3">
      <c r="A28" s="47"/>
      <c r="B28" s="24" t="s">
        <v>40</v>
      </c>
      <c r="C28" s="12" t="s">
        <v>27</v>
      </c>
      <c r="D28" s="12" t="s">
        <v>24</v>
      </c>
      <c r="E28" s="13" t="s">
        <v>76</v>
      </c>
      <c r="F28" s="22" t="s">
        <v>4</v>
      </c>
      <c r="G28" s="13" t="s">
        <v>0</v>
      </c>
      <c r="H28" s="12" t="s">
        <v>215</v>
      </c>
      <c r="I28" s="11">
        <v>1000</v>
      </c>
      <c r="J28" s="10"/>
      <c r="K28" s="9">
        <v>1000</v>
      </c>
      <c r="L28" s="8">
        <f t="shared" si="0"/>
        <v>0</v>
      </c>
    </row>
    <row r="29" spans="1:12" ht="150.75" customHeight="1" thickBot="1" x14ac:dyDescent="0.3">
      <c r="A29" s="47"/>
      <c r="B29" s="24" t="s">
        <v>40</v>
      </c>
      <c r="C29" s="12" t="s">
        <v>27</v>
      </c>
      <c r="D29" s="12" t="s">
        <v>24</v>
      </c>
      <c r="E29" s="13" t="s">
        <v>197</v>
      </c>
      <c r="F29" s="22" t="s">
        <v>4</v>
      </c>
      <c r="G29" s="13" t="s">
        <v>0</v>
      </c>
      <c r="H29" s="12" t="s">
        <v>215</v>
      </c>
      <c r="I29" s="11">
        <v>2000</v>
      </c>
      <c r="J29" s="10">
        <v>1000</v>
      </c>
      <c r="K29" s="9">
        <v>1000</v>
      </c>
      <c r="L29" s="8">
        <f t="shared" si="0"/>
        <v>0</v>
      </c>
    </row>
    <row r="30" spans="1:12" ht="150.75" customHeight="1" thickBot="1" x14ac:dyDescent="0.3">
      <c r="A30" s="47"/>
      <c r="B30" s="24" t="s">
        <v>38</v>
      </c>
      <c r="C30" s="12" t="s">
        <v>15</v>
      </c>
      <c r="D30" s="12" t="s">
        <v>24</v>
      </c>
      <c r="E30" s="13" t="s">
        <v>96</v>
      </c>
      <c r="F30" s="22" t="s">
        <v>4</v>
      </c>
      <c r="G30" s="13" t="s">
        <v>0</v>
      </c>
      <c r="H30" s="12" t="s">
        <v>215</v>
      </c>
      <c r="I30" s="11">
        <v>2500</v>
      </c>
      <c r="J30" s="10"/>
      <c r="K30" s="9">
        <v>2500</v>
      </c>
      <c r="L30" s="8">
        <f t="shared" si="0"/>
        <v>0</v>
      </c>
    </row>
    <row r="31" spans="1:12" ht="150.75" customHeight="1" thickBot="1" x14ac:dyDescent="0.3">
      <c r="A31" s="47"/>
      <c r="B31" s="24" t="s">
        <v>157</v>
      </c>
      <c r="C31" s="12" t="s">
        <v>26</v>
      </c>
      <c r="D31" s="12" t="s">
        <v>24</v>
      </c>
      <c r="E31" s="13" t="s">
        <v>25</v>
      </c>
      <c r="F31" s="22" t="s">
        <v>4</v>
      </c>
      <c r="G31" s="13" t="s">
        <v>0</v>
      </c>
      <c r="H31" s="12" t="s">
        <v>215</v>
      </c>
      <c r="I31" s="11">
        <v>2500</v>
      </c>
      <c r="J31" s="10"/>
      <c r="K31" s="9">
        <v>2500</v>
      </c>
      <c r="L31" s="8">
        <f t="shared" si="0"/>
        <v>0</v>
      </c>
    </row>
    <row r="32" spans="1:12" ht="150.75" customHeight="1" thickBot="1" x14ac:dyDescent="0.3">
      <c r="A32" s="47"/>
      <c r="B32" s="24" t="s">
        <v>112</v>
      </c>
      <c r="C32" s="12" t="s">
        <v>113</v>
      </c>
      <c r="D32" s="12" t="s">
        <v>24</v>
      </c>
      <c r="E32" s="13" t="s">
        <v>115</v>
      </c>
      <c r="F32" s="22" t="s">
        <v>9</v>
      </c>
      <c r="G32" s="13" t="s">
        <v>0</v>
      </c>
      <c r="H32" s="12" t="s">
        <v>187</v>
      </c>
      <c r="I32" s="11">
        <v>1000</v>
      </c>
      <c r="J32" s="10">
        <v>1000</v>
      </c>
      <c r="K32" s="9"/>
      <c r="L32" s="8">
        <f t="shared" si="0"/>
        <v>0</v>
      </c>
    </row>
    <row r="33" spans="1:12" ht="150.75" customHeight="1" thickBot="1" x14ac:dyDescent="0.3">
      <c r="A33" s="48"/>
      <c r="B33" s="24" t="s">
        <v>112</v>
      </c>
      <c r="C33" s="12" t="s">
        <v>113</v>
      </c>
      <c r="D33" s="12" t="s">
        <v>24</v>
      </c>
      <c r="E33" s="13" t="s">
        <v>115</v>
      </c>
      <c r="F33" s="22" t="s">
        <v>9</v>
      </c>
      <c r="G33" s="13" t="s">
        <v>0</v>
      </c>
      <c r="H33" s="12" t="s">
        <v>215</v>
      </c>
      <c r="I33" s="11">
        <v>1000</v>
      </c>
      <c r="J33" s="10"/>
      <c r="K33" s="9">
        <v>1000</v>
      </c>
      <c r="L33" s="8">
        <f t="shared" si="0"/>
        <v>0</v>
      </c>
    </row>
    <row r="34" spans="1:12" ht="150.75" customHeight="1" thickBot="1" x14ac:dyDescent="0.3">
      <c r="A34" s="46" t="s">
        <v>23</v>
      </c>
      <c r="B34" s="24" t="s">
        <v>12</v>
      </c>
      <c r="C34" s="12" t="s">
        <v>6</v>
      </c>
      <c r="D34" s="12" t="s">
        <v>20</v>
      </c>
      <c r="E34" s="13" t="s">
        <v>22</v>
      </c>
      <c r="F34" s="22" t="s">
        <v>4</v>
      </c>
      <c r="G34" s="13" t="s">
        <v>0</v>
      </c>
      <c r="H34" s="12" t="s">
        <v>215</v>
      </c>
      <c r="I34" s="11">
        <v>3000</v>
      </c>
      <c r="J34" s="10"/>
      <c r="K34" s="9">
        <v>3000</v>
      </c>
      <c r="L34" s="8">
        <f t="shared" si="0"/>
        <v>0</v>
      </c>
    </row>
    <row r="35" spans="1:12" ht="150.75" customHeight="1" thickBot="1" x14ac:dyDescent="0.3">
      <c r="A35" s="47"/>
      <c r="B35" s="24" t="s">
        <v>21</v>
      </c>
      <c r="C35" s="12" t="s">
        <v>118</v>
      </c>
      <c r="D35" s="12" t="s">
        <v>20</v>
      </c>
      <c r="E35" s="13" t="s">
        <v>119</v>
      </c>
      <c r="F35" s="22" t="s">
        <v>4</v>
      </c>
      <c r="G35" s="13" t="s">
        <v>0</v>
      </c>
      <c r="H35" s="12" t="s">
        <v>218</v>
      </c>
      <c r="I35" s="11">
        <v>2000</v>
      </c>
      <c r="J35" s="10">
        <v>1000</v>
      </c>
      <c r="K35" s="9">
        <v>1000</v>
      </c>
      <c r="L35" s="8">
        <f t="shared" si="0"/>
        <v>0</v>
      </c>
    </row>
    <row r="36" spans="1:12" ht="150.75" customHeight="1" thickBot="1" x14ac:dyDescent="0.3">
      <c r="A36" s="47"/>
      <c r="B36" s="24" t="s">
        <v>21</v>
      </c>
      <c r="C36" s="12" t="s">
        <v>3</v>
      </c>
      <c r="D36" s="12" t="s">
        <v>20</v>
      </c>
      <c r="E36" s="13" t="s">
        <v>56</v>
      </c>
      <c r="F36" s="22" t="s">
        <v>9</v>
      </c>
      <c r="G36" s="13" t="s">
        <v>0</v>
      </c>
      <c r="H36" s="12" t="s">
        <v>215</v>
      </c>
      <c r="I36" s="11">
        <v>5000</v>
      </c>
      <c r="J36" s="10">
        <v>2000</v>
      </c>
      <c r="K36" s="9">
        <v>3000</v>
      </c>
      <c r="L36" s="8">
        <f t="shared" si="0"/>
        <v>0</v>
      </c>
    </row>
    <row r="37" spans="1:12" ht="150.75" customHeight="1" thickBot="1" x14ac:dyDescent="0.3">
      <c r="A37" s="48"/>
      <c r="B37" s="24" t="s">
        <v>21</v>
      </c>
      <c r="C37" s="12" t="s">
        <v>3</v>
      </c>
      <c r="D37" s="12" t="s">
        <v>20</v>
      </c>
      <c r="E37" s="13" t="s">
        <v>57</v>
      </c>
      <c r="F37" s="22" t="s">
        <v>9</v>
      </c>
      <c r="G37" s="13" t="s">
        <v>0</v>
      </c>
      <c r="H37" s="12" t="s">
        <v>215</v>
      </c>
      <c r="I37" s="11">
        <v>5000</v>
      </c>
      <c r="J37" s="10"/>
      <c r="K37" s="9">
        <v>5000</v>
      </c>
      <c r="L37" s="8">
        <f t="shared" si="0"/>
        <v>0</v>
      </c>
    </row>
    <row r="38" spans="1:12" ht="150.75" customHeight="1" thickBot="1" x14ac:dyDescent="0.3">
      <c r="A38" s="46" t="s">
        <v>19</v>
      </c>
      <c r="B38" s="24" t="s">
        <v>7</v>
      </c>
      <c r="C38" s="12" t="s">
        <v>17</v>
      </c>
      <c r="D38" s="12" t="s">
        <v>120</v>
      </c>
      <c r="E38" s="13" t="s">
        <v>121</v>
      </c>
      <c r="F38" s="22" t="s">
        <v>122</v>
      </c>
      <c r="G38" s="13" t="s">
        <v>0</v>
      </c>
      <c r="H38" s="12" t="s">
        <v>218</v>
      </c>
      <c r="I38" s="11">
        <v>8500</v>
      </c>
      <c r="J38" s="10">
        <v>2000</v>
      </c>
      <c r="K38" s="9">
        <v>6500</v>
      </c>
      <c r="L38" s="8">
        <f t="shared" si="0"/>
        <v>0</v>
      </c>
    </row>
    <row r="39" spans="1:12" ht="150.75" customHeight="1" thickBot="1" x14ac:dyDescent="0.3">
      <c r="A39" s="47"/>
      <c r="B39" s="24" t="s">
        <v>7</v>
      </c>
      <c r="C39" s="12" t="s">
        <v>15</v>
      </c>
      <c r="D39" s="12" t="s">
        <v>14</v>
      </c>
      <c r="E39" s="13" t="s">
        <v>58</v>
      </c>
      <c r="F39" s="22" t="s">
        <v>4</v>
      </c>
      <c r="G39" s="13" t="s">
        <v>0</v>
      </c>
      <c r="H39" s="12" t="s">
        <v>215</v>
      </c>
      <c r="I39" s="11">
        <v>2000</v>
      </c>
      <c r="J39" s="10"/>
      <c r="K39" s="9">
        <v>2000</v>
      </c>
      <c r="L39" s="8">
        <f t="shared" si="0"/>
        <v>0</v>
      </c>
    </row>
    <row r="40" spans="1:12" ht="150.75" customHeight="1" thickBot="1" x14ac:dyDescent="0.3">
      <c r="A40" s="47"/>
      <c r="B40" s="24" t="s">
        <v>7</v>
      </c>
      <c r="C40" s="12" t="s">
        <v>15</v>
      </c>
      <c r="D40" s="12" t="s">
        <v>14</v>
      </c>
      <c r="E40" s="13" t="s">
        <v>13</v>
      </c>
      <c r="F40" s="22" t="s">
        <v>4</v>
      </c>
      <c r="G40" s="13" t="s">
        <v>0</v>
      </c>
      <c r="H40" s="12" t="s">
        <v>215</v>
      </c>
      <c r="I40" s="11">
        <v>2000</v>
      </c>
      <c r="J40" s="10"/>
      <c r="K40" s="9">
        <v>2000</v>
      </c>
      <c r="L40" s="8">
        <f t="shared" si="0"/>
        <v>0</v>
      </c>
    </row>
    <row r="41" spans="1:12" ht="150.75" customHeight="1" thickBot="1" x14ac:dyDescent="0.3">
      <c r="A41" s="47"/>
      <c r="B41" s="24" t="s">
        <v>12</v>
      </c>
      <c r="C41" s="12" t="s">
        <v>118</v>
      </c>
      <c r="D41" s="12" t="s">
        <v>123</v>
      </c>
      <c r="E41" s="13" t="s">
        <v>124</v>
      </c>
      <c r="F41" s="22" t="s">
        <v>4</v>
      </c>
      <c r="G41" s="13" t="s">
        <v>0</v>
      </c>
      <c r="H41" s="12" t="s">
        <v>218</v>
      </c>
      <c r="I41" s="11">
        <v>2914</v>
      </c>
      <c r="J41" s="10">
        <v>1000</v>
      </c>
      <c r="K41" s="9">
        <v>1914</v>
      </c>
      <c r="L41" s="8">
        <f t="shared" si="0"/>
        <v>0</v>
      </c>
    </row>
    <row r="42" spans="1:12" ht="150.75" customHeight="1" thickBot="1" x14ac:dyDescent="0.3">
      <c r="A42" s="47"/>
      <c r="B42" s="24" t="s">
        <v>12</v>
      </c>
      <c r="C42" s="12" t="s">
        <v>3</v>
      </c>
      <c r="D42" s="12" t="s">
        <v>11</v>
      </c>
      <c r="E42" s="13" t="s">
        <v>10</v>
      </c>
      <c r="F42" s="22" t="s">
        <v>4</v>
      </c>
      <c r="G42" s="13" t="s">
        <v>37</v>
      </c>
      <c r="H42" s="12" t="s">
        <v>218</v>
      </c>
      <c r="I42" s="11">
        <v>194</v>
      </c>
      <c r="J42" s="10"/>
      <c r="K42" s="9">
        <v>194</v>
      </c>
      <c r="L42" s="8">
        <f t="shared" si="0"/>
        <v>0</v>
      </c>
    </row>
    <row r="43" spans="1:12" ht="150.75" customHeight="1" thickBot="1" x14ac:dyDescent="0.3">
      <c r="A43" s="47"/>
      <c r="B43" s="24" t="s">
        <v>12</v>
      </c>
      <c r="C43" s="12" t="s">
        <v>3</v>
      </c>
      <c r="D43" s="12" t="s">
        <v>11</v>
      </c>
      <c r="E43" s="13" t="s">
        <v>10</v>
      </c>
      <c r="F43" s="22" t="s">
        <v>9</v>
      </c>
      <c r="G43" s="13" t="s">
        <v>0</v>
      </c>
      <c r="H43" s="12" t="s">
        <v>218</v>
      </c>
      <c r="I43" s="11">
        <v>10000</v>
      </c>
      <c r="J43" s="10">
        <v>2000</v>
      </c>
      <c r="K43" s="9">
        <v>8000</v>
      </c>
      <c r="L43" s="8">
        <f t="shared" si="0"/>
        <v>0</v>
      </c>
    </row>
    <row r="44" spans="1:12" ht="150.75" customHeight="1" thickBot="1" x14ac:dyDescent="0.3">
      <c r="A44" s="47"/>
      <c r="B44" s="24" t="s">
        <v>7</v>
      </c>
      <c r="C44" s="12" t="s">
        <v>6</v>
      </c>
      <c r="D44" s="12" t="s">
        <v>1</v>
      </c>
      <c r="E44" s="13" t="s">
        <v>5</v>
      </c>
      <c r="F44" s="22" t="s">
        <v>9</v>
      </c>
      <c r="G44" s="13" t="s">
        <v>0</v>
      </c>
      <c r="H44" s="12" t="s">
        <v>218</v>
      </c>
      <c r="I44" s="11">
        <v>2000</v>
      </c>
      <c r="J44" s="10">
        <v>1000</v>
      </c>
      <c r="K44" s="9">
        <v>1000</v>
      </c>
      <c r="L44" s="8">
        <f t="shared" si="0"/>
        <v>0</v>
      </c>
    </row>
    <row r="45" spans="1:12" ht="150.75" customHeight="1" thickBot="1" x14ac:dyDescent="0.3">
      <c r="A45" s="48"/>
      <c r="B45" s="24" t="s">
        <v>194</v>
      </c>
      <c r="C45" s="12" t="s">
        <v>3</v>
      </c>
      <c r="D45" s="12" t="s">
        <v>1</v>
      </c>
      <c r="E45" s="13" t="s">
        <v>195</v>
      </c>
      <c r="F45" s="22" t="s">
        <v>122</v>
      </c>
      <c r="G45" s="13" t="s">
        <v>0</v>
      </c>
      <c r="H45" s="12" t="s">
        <v>218</v>
      </c>
      <c r="I45" s="11">
        <v>4000</v>
      </c>
      <c r="J45" s="10">
        <v>1000</v>
      </c>
      <c r="K45" s="9">
        <v>3000</v>
      </c>
      <c r="L45" s="8">
        <f t="shared" si="0"/>
        <v>0</v>
      </c>
    </row>
  </sheetData>
  <autoFilter ref="A2:L45"/>
  <dataConsolidate/>
  <mergeCells count="5">
    <mergeCell ref="A1:L1"/>
    <mergeCell ref="A3:A19"/>
    <mergeCell ref="A34:A37"/>
    <mergeCell ref="A38:A45"/>
    <mergeCell ref="A20:A33"/>
  </mergeCells>
  <conditionalFormatting sqref="I2:I36 K3:L36">
    <cfRule type="cellIs" dxfId="148" priority="3" operator="lessThan">
      <formula>0</formula>
    </cfRule>
  </conditionalFormatting>
  <conditionalFormatting sqref="L2">
    <cfRule type="cellIs" dxfId="147" priority="2" operator="lessThan">
      <formula>0</formula>
    </cfRule>
  </conditionalFormatting>
  <conditionalFormatting sqref="I37:I45 K37:L45">
    <cfRule type="cellIs" dxfId="146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25"/>
  <sheetViews>
    <sheetView showGridLines="0" view="pageBreakPreview" zoomScale="20" zoomScaleNormal="27" zoomScaleSheetLayoutView="20" workbookViewId="0">
      <selection activeCell="K23" sqref="K23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234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50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218</v>
      </c>
      <c r="I3" s="11">
        <v>2000</v>
      </c>
      <c r="J3" s="10"/>
      <c r="K3" s="9">
        <v>2000</v>
      </c>
      <c r="L3" s="8">
        <f t="shared" ref="L3:L25" si="0">K3+J3-I3</f>
        <v>0</v>
      </c>
    </row>
    <row r="4" spans="1:12" ht="150.75" customHeight="1" thickBot="1" x14ac:dyDescent="0.3">
      <c r="A4" s="50"/>
      <c r="B4" s="13" t="s">
        <v>40</v>
      </c>
      <c r="C4" s="12" t="s">
        <v>31</v>
      </c>
      <c r="D4" s="12" t="s">
        <v>126</v>
      </c>
      <c r="E4" s="13" t="s">
        <v>220</v>
      </c>
      <c r="F4" s="22" t="s">
        <v>131</v>
      </c>
      <c r="G4" s="13" t="s">
        <v>37</v>
      </c>
      <c r="H4" s="12" t="s">
        <v>215</v>
      </c>
      <c r="I4" s="11">
        <v>1712</v>
      </c>
      <c r="J4" s="10"/>
      <c r="K4" s="9">
        <v>1712</v>
      </c>
      <c r="L4" s="8">
        <f t="shared" si="0"/>
        <v>0</v>
      </c>
    </row>
    <row r="5" spans="1:12" ht="150.75" customHeight="1" thickBot="1" x14ac:dyDescent="0.3">
      <c r="A5" s="50"/>
      <c r="B5" s="13" t="s">
        <v>136</v>
      </c>
      <c r="C5" s="12" t="s">
        <v>118</v>
      </c>
      <c r="D5" s="12" t="s">
        <v>126</v>
      </c>
      <c r="E5" s="13" t="s">
        <v>221</v>
      </c>
      <c r="F5" s="22" t="s">
        <v>122</v>
      </c>
      <c r="G5" s="13" t="s">
        <v>0</v>
      </c>
      <c r="H5" s="12" t="s">
        <v>218</v>
      </c>
      <c r="I5" s="11">
        <v>1600</v>
      </c>
      <c r="J5" s="10"/>
      <c r="K5" s="9">
        <v>1600</v>
      </c>
      <c r="L5" s="8">
        <f t="shared" si="0"/>
        <v>0</v>
      </c>
    </row>
    <row r="6" spans="1:12" ht="150.75" customHeight="1" thickBot="1" x14ac:dyDescent="0.3">
      <c r="A6" s="50"/>
      <c r="B6" s="13" t="s">
        <v>66</v>
      </c>
      <c r="C6" s="12" t="s">
        <v>62</v>
      </c>
      <c r="D6" s="12" t="s">
        <v>24</v>
      </c>
      <c r="E6" s="13" t="s">
        <v>63</v>
      </c>
      <c r="F6" s="22" t="s">
        <v>4</v>
      </c>
      <c r="G6" s="13" t="s">
        <v>0</v>
      </c>
      <c r="H6" s="12" t="s">
        <v>218</v>
      </c>
      <c r="I6" s="11">
        <v>1000</v>
      </c>
      <c r="J6" s="10"/>
      <c r="K6" s="9">
        <v>1000</v>
      </c>
      <c r="L6" s="8">
        <f t="shared" si="0"/>
        <v>0</v>
      </c>
    </row>
    <row r="7" spans="1:12" ht="150.75" customHeight="1" thickBot="1" x14ac:dyDescent="0.3">
      <c r="A7" s="50"/>
      <c r="B7" s="13" t="s">
        <v>77</v>
      </c>
      <c r="C7" s="12" t="s">
        <v>27</v>
      </c>
      <c r="D7" s="12" t="s">
        <v>24</v>
      </c>
      <c r="E7" s="13" t="s">
        <v>76</v>
      </c>
      <c r="F7" s="22" t="s">
        <v>4</v>
      </c>
      <c r="G7" s="13" t="s">
        <v>0</v>
      </c>
      <c r="H7" s="12" t="s">
        <v>218</v>
      </c>
      <c r="I7" s="11">
        <v>4000</v>
      </c>
      <c r="J7" s="10"/>
      <c r="K7" s="9">
        <v>4000</v>
      </c>
      <c r="L7" s="8">
        <f t="shared" si="0"/>
        <v>0</v>
      </c>
    </row>
    <row r="8" spans="1:12" ht="150.75" customHeight="1" thickBot="1" x14ac:dyDescent="0.3">
      <c r="A8" s="50"/>
      <c r="B8" s="13" t="s">
        <v>112</v>
      </c>
      <c r="C8" s="12" t="s">
        <v>113</v>
      </c>
      <c r="D8" s="12" t="s">
        <v>24</v>
      </c>
      <c r="E8" s="13" t="s">
        <v>241</v>
      </c>
      <c r="F8" s="22" t="s">
        <v>4</v>
      </c>
      <c r="G8" s="13" t="s">
        <v>0</v>
      </c>
      <c r="H8" s="12" t="s">
        <v>218</v>
      </c>
      <c r="I8" s="11">
        <v>700</v>
      </c>
      <c r="J8" s="10"/>
      <c r="K8" s="9">
        <v>700</v>
      </c>
      <c r="L8" s="8">
        <f t="shared" si="0"/>
        <v>0</v>
      </c>
    </row>
    <row r="9" spans="1:12" ht="150.75" customHeight="1" thickBot="1" x14ac:dyDescent="0.3">
      <c r="A9" s="50"/>
      <c r="B9" s="13" t="s">
        <v>112</v>
      </c>
      <c r="C9" s="12" t="s">
        <v>113</v>
      </c>
      <c r="D9" s="12" t="s">
        <v>24</v>
      </c>
      <c r="E9" s="13" t="s">
        <v>114</v>
      </c>
      <c r="F9" s="22" t="s">
        <v>4</v>
      </c>
      <c r="G9" s="13" t="s">
        <v>0</v>
      </c>
      <c r="H9" s="12" t="s">
        <v>215</v>
      </c>
      <c r="I9" s="11">
        <v>1000</v>
      </c>
      <c r="J9" s="10"/>
      <c r="K9" s="9">
        <v>1000</v>
      </c>
      <c r="L9" s="8">
        <f t="shared" si="0"/>
        <v>0</v>
      </c>
    </row>
    <row r="10" spans="1:12" ht="150.75" customHeight="1" thickBot="1" x14ac:dyDescent="0.3">
      <c r="A10" s="50"/>
      <c r="B10" s="13" t="s">
        <v>32</v>
      </c>
      <c r="C10" s="12" t="s">
        <v>31</v>
      </c>
      <c r="D10" s="12" t="s">
        <v>24</v>
      </c>
      <c r="E10" s="13" t="s">
        <v>78</v>
      </c>
      <c r="F10" s="22" t="s">
        <v>4</v>
      </c>
      <c r="G10" s="13" t="s">
        <v>0</v>
      </c>
      <c r="H10" s="12" t="s">
        <v>218</v>
      </c>
      <c r="I10" s="11">
        <v>2555</v>
      </c>
      <c r="J10" s="10"/>
      <c r="K10" s="9">
        <v>2555</v>
      </c>
      <c r="L10" s="8">
        <f t="shared" si="0"/>
        <v>0</v>
      </c>
    </row>
    <row r="11" spans="1:12" ht="150.75" customHeight="1" thickBot="1" x14ac:dyDescent="0.3">
      <c r="A11" s="50"/>
      <c r="B11" s="13" t="s">
        <v>32</v>
      </c>
      <c r="C11" s="12" t="s">
        <v>31</v>
      </c>
      <c r="D11" s="12" t="s">
        <v>24</v>
      </c>
      <c r="E11" s="13" t="s">
        <v>71</v>
      </c>
      <c r="F11" s="22" t="s">
        <v>4</v>
      </c>
      <c r="G11" s="13" t="s">
        <v>0</v>
      </c>
      <c r="H11" s="12" t="s">
        <v>218</v>
      </c>
      <c r="I11" s="11">
        <v>4180</v>
      </c>
      <c r="J11" s="10"/>
      <c r="K11" s="9">
        <v>4180</v>
      </c>
      <c r="L11" s="8">
        <f t="shared" si="0"/>
        <v>0</v>
      </c>
    </row>
    <row r="12" spans="1:12" ht="150.75" customHeight="1" thickBot="1" x14ac:dyDescent="0.3">
      <c r="A12" s="50"/>
      <c r="B12" s="13" t="s">
        <v>32</v>
      </c>
      <c r="C12" s="12" t="s">
        <v>31</v>
      </c>
      <c r="D12" s="12" t="s">
        <v>24</v>
      </c>
      <c r="E12" s="13" t="s">
        <v>116</v>
      </c>
      <c r="F12" s="22" t="s">
        <v>9</v>
      </c>
      <c r="G12" s="13" t="s">
        <v>0</v>
      </c>
      <c r="H12" s="12" t="s">
        <v>218</v>
      </c>
      <c r="I12" s="11">
        <v>3000</v>
      </c>
      <c r="J12" s="10"/>
      <c r="K12" s="9">
        <v>3000</v>
      </c>
      <c r="L12" s="8">
        <f t="shared" si="0"/>
        <v>0</v>
      </c>
    </row>
    <row r="13" spans="1:12" ht="150.75" customHeight="1" thickBot="1" x14ac:dyDescent="0.3">
      <c r="A13" s="50" t="s">
        <v>36</v>
      </c>
      <c r="B13" s="13" t="s">
        <v>66</v>
      </c>
      <c r="C13" s="12" t="s">
        <v>62</v>
      </c>
      <c r="D13" s="12" t="s">
        <v>24</v>
      </c>
      <c r="E13" s="13" t="s">
        <v>63</v>
      </c>
      <c r="F13" s="22" t="s">
        <v>4</v>
      </c>
      <c r="G13" s="13" t="s">
        <v>0</v>
      </c>
      <c r="H13" s="12" t="s">
        <v>218</v>
      </c>
      <c r="I13" s="11">
        <v>1600</v>
      </c>
      <c r="J13" s="10"/>
      <c r="K13" s="9">
        <v>1600</v>
      </c>
      <c r="L13" s="8">
        <f t="shared" si="0"/>
        <v>0</v>
      </c>
    </row>
    <row r="14" spans="1:12" ht="150.75" customHeight="1" thickBot="1" x14ac:dyDescent="0.3">
      <c r="A14" s="50"/>
      <c r="B14" s="13" t="s">
        <v>99</v>
      </c>
      <c r="C14" s="12" t="s">
        <v>100</v>
      </c>
      <c r="D14" s="12" t="s">
        <v>24</v>
      </c>
      <c r="E14" s="13" t="s">
        <v>243</v>
      </c>
      <c r="F14" s="22" t="s">
        <v>102</v>
      </c>
      <c r="G14" s="13" t="s">
        <v>37</v>
      </c>
      <c r="H14" s="12" t="s">
        <v>218</v>
      </c>
      <c r="I14" s="11">
        <v>200</v>
      </c>
      <c r="J14" s="10"/>
      <c r="K14" s="9">
        <v>200</v>
      </c>
      <c r="L14" s="8">
        <f t="shared" si="0"/>
        <v>0</v>
      </c>
    </row>
    <row r="15" spans="1:12" ht="150.75" customHeight="1" thickBot="1" x14ac:dyDescent="0.3">
      <c r="A15" s="50"/>
      <c r="B15" s="13" t="s">
        <v>35</v>
      </c>
      <c r="C15" s="12" t="s">
        <v>34</v>
      </c>
      <c r="D15" s="12" t="s">
        <v>24</v>
      </c>
      <c r="E15" s="13" t="s">
        <v>33</v>
      </c>
      <c r="F15" s="22" t="s">
        <v>4</v>
      </c>
      <c r="G15" s="13" t="s">
        <v>0</v>
      </c>
      <c r="H15" s="12" t="s">
        <v>218</v>
      </c>
      <c r="I15" s="11">
        <v>1630</v>
      </c>
      <c r="J15" s="10"/>
      <c r="K15" s="9">
        <v>1630</v>
      </c>
      <c r="L15" s="8">
        <f t="shared" si="0"/>
        <v>0</v>
      </c>
    </row>
    <row r="16" spans="1:12" ht="150.75" customHeight="1" thickBot="1" x14ac:dyDescent="0.3">
      <c r="A16" s="50"/>
      <c r="B16" s="13" t="s">
        <v>32</v>
      </c>
      <c r="C16" s="12" t="s">
        <v>31</v>
      </c>
      <c r="D16" s="12" t="s">
        <v>24</v>
      </c>
      <c r="E16" s="13" t="s">
        <v>78</v>
      </c>
      <c r="F16" s="22" t="s">
        <v>4</v>
      </c>
      <c r="G16" s="13" t="s">
        <v>0</v>
      </c>
      <c r="H16" s="12" t="s">
        <v>218</v>
      </c>
      <c r="I16" s="11">
        <v>1000</v>
      </c>
      <c r="J16" s="10"/>
      <c r="K16" s="9">
        <v>1000</v>
      </c>
      <c r="L16" s="8">
        <f t="shared" si="0"/>
        <v>0</v>
      </c>
    </row>
    <row r="17" spans="1:12" ht="150.75" customHeight="1" thickBot="1" x14ac:dyDescent="0.3">
      <c r="A17" s="50"/>
      <c r="B17" s="13" t="s">
        <v>32</v>
      </c>
      <c r="C17" s="12" t="s">
        <v>31</v>
      </c>
      <c r="D17" s="12" t="s">
        <v>24</v>
      </c>
      <c r="E17" s="13" t="s">
        <v>71</v>
      </c>
      <c r="F17" s="22" t="s">
        <v>4</v>
      </c>
      <c r="G17" s="13" t="s">
        <v>0</v>
      </c>
      <c r="H17" s="12" t="s">
        <v>218</v>
      </c>
      <c r="I17" s="11">
        <v>1000</v>
      </c>
      <c r="J17" s="10"/>
      <c r="K17" s="9">
        <v>1000</v>
      </c>
      <c r="L17" s="8">
        <f t="shared" si="0"/>
        <v>0</v>
      </c>
    </row>
    <row r="18" spans="1:12" ht="150.75" customHeight="1" thickBot="1" x14ac:dyDescent="0.3">
      <c r="A18" s="50"/>
      <c r="B18" s="13" t="s">
        <v>40</v>
      </c>
      <c r="C18" s="12" t="s">
        <v>27</v>
      </c>
      <c r="D18" s="12" t="s">
        <v>24</v>
      </c>
      <c r="E18" s="13" t="s">
        <v>76</v>
      </c>
      <c r="F18" s="22" t="s">
        <v>4</v>
      </c>
      <c r="G18" s="13" t="s">
        <v>0</v>
      </c>
      <c r="H18" s="12" t="s">
        <v>215</v>
      </c>
      <c r="I18" s="11">
        <v>1000</v>
      </c>
      <c r="J18" s="10"/>
      <c r="K18" s="9">
        <v>1000</v>
      </c>
      <c r="L18" s="8">
        <f t="shared" si="0"/>
        <v>0</v>
      </c>
    </row>
    <row r="19" spans="1:12" ht="150.75" customHeight="1" thickBot="1" x14ac:dyDescent="0.3">
      <c r="A19" s="50"/>
      <c r="B19" s="13" t="s">
        <v>38</v>
      </c>
      <c r="C19" s="12" t="s">
        <v>15</v>
      </c>
      <c r="D19" s="12" t="s">
        <v>24</v>
      </c>
      <c r="E19" s="13" t="s">
        <v>96</v>
      </c>
      <c r="F19" s="22" t="s">
        <v>4</v>
      </c>
      <c r="G19" s="13" t="s">
        <v>0</v>
      </c>
      <c r="H19" s="12" t="s">
        <v>218</v>
      </c>
      <c r="I19" s="11">
        <v>968</v>
      </c>
      <c r="J19" s="10"/>
      <c r="K19" s="9">
        <v>968</v>
      </c>
      <c r="L19" s="8">
        <f t="shared" si="0"/>
        <v>0</v>
      </c>
    </row>
    <row r="20" spans="1:12" ht="150.75" customHeight="1" thickBot="1" x14ac:dyDescent="0.3">
      <c r="A20" s="50"/>
      <c r="B20" s="13" t="s">
        <v>112</v>
      </c>
      <c r="C20" s="12" t="s">
        <v>113</v>
      </c>
      <c r="D20" s="12" t="s">
        <v>24</v>
      </c>
      <c r="E20" s="13" t="s">
        <v>241</v>
      </c>
      <c r="F20" s="22" t="s">
        <v>4</v>
      </c>
      <c r="G20" s="13" t="s">
        <v>0</v>
      </c>
      <c r="H20" s="12" t="s">
        <v>218</v>
      </c>
      <c r="I20" s="11">
        <v>1108</v>
      </c>
      <c r="J20" s="10"/>
      <c r="K20" s="9">
        <v>1108</v>
      </c>
      <c r="L20" s="8">
        <f t="shared" si="0"/>
        <v>0</v>
      </c>
    </row>
    <row r="21" spans="1:12" ht="150.75" customHeight="1" thickBot="1" x14ac:dyDescent="0.3">
      <c r="A21" s="50"/>
      <c r="B21" s="13" t="s">
        <v>112</v>
      </c>
      <c r="C21" s="12" t="s">
        <v>113</v>
      </c>
      <c r="D21" s="12" t="s">
        <v>24</v>
      </c>
      <c r="E21" s="13" t="s">
        <v>114</v>
      </c>
      <c r="F21" s="22" t="s">
        <v>4</v>
      </c>
      <c r="G21" s="13" t="s">
        <v>0</v>
      </c>
      <c r="H21" s="12" t="s">
        <v>215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50.75" customHeight="1" thickBot="1" x14ac:dyDescent="0.3">
      <c r="A22" s="50"/>
      <c r="B22" s="13" t="s">
        <v>112</v>
      </c>
      <c r="C22" s="12" t="s">
        <v>113</v>
      </c>
      <c r="D22" s="12" t="s">
        <v>24</v>
      </c>
      <c r="E22" s="13" t="s">
        <v>242</v>
      </c>
      <c r="F22" s="22" t="s">
        <v>4</v>
      </c>
      <c r="G22" s="13" t="s">
        <v>0</v>
      </c>
      <c r="H22" s="12" t="s">
        <v>218</v>
      </c>
      <c r="I22" s="11">
        <v>1400</v>
      </c>
      <c r="J22" s="10"/>
      <c r="K22" s="9">
        <v>1400</v>
      </c>
      <c r="L22" s="8">
        <f t="shared" si="0"/>
        <v>0</v>
      </c>
    </row>
    <row r="23" spans="1:12" ht="150.75" customHeight="1" thickBot="1" x14ac:dyDescent="0.3">
      <c r="A23" s="32" t="s">
        <v>23</v>
      </c>
      <c r="B23" s="33" t="s">
        <v>12</v>
      </c>
      <c r="C23" s="12" t="s">
        <v>6</v>
      </c>
      <c r="D23" s="12" t="s">
        <v>20</v>
      </c>
      <c r="E23" s="13" t="s">
        <v>22</v>
      </c>
      <c r="F23" s="22" t="s">
        <v>4</v>
      </c>
      <c r="G23" s="13" t="s">
        <v>0</v>
      </c>
      <c r="H23" s="12" t="s">
        <v>218</v>
      </c>
      <c r="I23" s="11">
        <v>3000</v>
      </c>
      <c r="J23" s="10"/>
      <c r="K23" s="9">
        <v>3000</v>
      </c>
      <c r="L23" s="8">
        <f t="shared" si="0"/>
        <v>0</v>
      </c>
    </row>
    <row r="24" spans="1:12" ht="150.75" customHeight="1" thickBot="1" x14ac:dyDescent="0.3">
      <c r="A24" s="46" t="s">
        <v>19</v>
      </c>
      <c r="B24" s="24" t="s">
        <v>12</v>
      </c>
      <c r="C24" s="12" t="s">
        <v>3</v>
      </c>
      <c r="D24" s="12" t="s">
        <v>11</v>
      </c>
      <c r="E24" s="13" t="s">
        <v>10</v>
      </c>
      <c r="F24" s="22" t="s">
        <v>4</v>
      </c>
      <c r="G24" s="13" t="s">
        <v>0</v>
      </c>
      <c r="H24" s="12" t="s">
        <v>218</v>
      </c>
      <c r="I24" s="11">
        <v>10000</v>
      </c>
      <c r="J24" s="10"/>
      <c r="K24" s="9">
        <v>10000</v>
      </c>
      <c r="L24" s="8">
        <f t="shared" si="0"/>
        <v>0</v>
      </c>
    </row>
    <row r="25" spans="1:12" ht="150.75" customHeight="1" thickBot="1" x14ac:dyDescent="0.3">
      <c r="A25" s="48"/>
      <c r="B25" s="24" t="s">
        <v>7</v>
      </c>
      <c r="C25" s="12" t="s">
        <v>6</v>
      </c>
      <c r="D25" s="12" t="s">
        <v>1</v>
      </c>
      <c r="E25" s="13" t="s">
        <v>5</v>
      </c>
      <c r="F25" s="22" t="s">
        <v>4</v>
      </c>
      <c r="G25" s="13" t="s">
        <v>0</v>
      </c>
      <c r="H25" s="12" t="s">
        <v>218</v>
      </c>
      <c r="I25" s="11">
        <v>3980</v>
      </c>
      <c r="J25" s="10"/>
      <c r="K25" s="9">
        <v>3980</v>
      </c>
      <c r="L25" s="8">
        <f t="shared" si="0"/>
        <v>0</v>
      </c>
    </row>
  </sheetData>
  <autoFilter ref="A2:L25"/>
  <dataConsolidate/>
  <mergeCells count="4">
    <mergeCell ref="A24:A25"/>
    <mergeCell ref="A1:L1"/>
    <mergeCell ref="A3:A12"/>
    <mergeCell ref="A13:A22"/>
  </mergeCells>
  <conditionalFormatting sqref="I2:I25 K3:L25">
    <cfRule type="cellIs" dxfId="145" priority="3" operator="lessThan">
      <formula>0</formula>
    </cfRule>
  </conditionalFormatting>
  <conditionalFormatting sqref="L2">
    <cfRule type="cellIs" dxfId="144" priority="2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61"/>
  <sheetViews>
    <sheetView showGridLines="0" view="pageBreakPreview" zoomScale="20" zoomScaleNormal="27" zoomScaleSheetLayoutView="20" workbookViewId="0">
      <selection activeCell="E8" sqref="E8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244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50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245</v>
      </c>
      <c r="I3" s="11">
        <v>2000</v>
      </c>
      <c r="J3" s="10">
        <v>1000</v>
      </c>
      <c r="K3" s="9">
        <v>1000</v>
      </c>
      <c r="L3" s="8">
        <f t="shared" ref="L3:L61" si="0">K3+J3-I3</f>
        <v>0</v>
      </c>
    </row>
    <row r="4" spans="1:12" ht="150.75" customHeight="1" thickBot="1" x14ac:dyDescent="0.3">
      <c r="A4" s="50"/>
      <c r="B4" s="13" t="s">
        <v>136</v>
      </c>
      <c r="C4" s="12" t="s">
        <v>235</v>
      </c>
      <c r="D4" s="12" t="s">
        <v>126</v>
      </c>
      <c r="E4" s="13" t="s">
        <v>236</v>
      </c>
      <c r="F4" s="22" t="s">
        <v>122</v>
      </c>
      <c r="G4" s="13" t="s">
        <v>0</v>
      </c>
      <c r="H4" s="12" t="s">
        <v>218</v>
      </c>
      <c r="I4" s="11">
        <v>3000</v>
      </c>
      <c r="J4" s="10">
        <v>1000</v>
      </c>
      <c r="K4" s="9">
        <v>2000</v>
      </c>
      <c r="L4" s="8">
        <f t="shared" si="0"/>
        <v>0</v>
      </c>
    </row>
    <row r="5" spans="1:12" ht="150.75" customHeight="1" thickBot="1" x14ac:dyDescent="0.3">
      <c r="A5" s="50"/>
      <c r="B5" s="13" t="s">
        <v>136</v>
      </c>
      <c r="C5" s="12" t="s">
        <v>235</v>
      </c>
      <c r="D5" s="12" t="s">
        <v>126</v>
      </c>
      <c r="E5" s="13" t="s">
        <v>246</v>
      </c>
      <c r="F5" s="22" t="s">
        <v>122</v>
      </c>
      <c r="G5" s="13" t="s">
        <v>8</v>
      </c>
      <c r="H5" s="12" t="s">
        <v>218</v>
      </c>
      <c r="I5" s="11">
        <v>89</v>
      </c>
      <c r="J5" s="10"/>
      <c r="K5" s="9">
        <v>89</v>
      </c>
      <c r="L5" s="8">
        <f t="shared" si="0"/>
        <v>0</v>
      </c>
    </row>
    <row r="6" spans="1:12" ht="150.75" customHeight="1" thickBot="1" x14ac:dyDescent="0.3">
      <c r="A6" s="50"/>
      <c r="B6" s="13" t="s">
        <v>136</v>
      </c>
      <c r="C6" s="12" t="s">
        <v>3</v>
      </c>
      <c r="D6" s="12" t="s">
        <v>126</v>
      </c>
      <c r="E6" s="13" t="s">
        <v>153</v>
      </c>
      <c r="F6" s="22" t="s">
        <v>122</v>
      </c>
      <c r="G6" s="13" t="s">
        <v>0</v>
      </c>
      <c r="H6" s="12" t="s">
        <v>245</v>
      </c>
      <c r="I6" s="11">
        <v>5000</v>
      </c>
      <c r="J6" s="10">
        <v>1000</v>
      </c>
      <c r="K6" s="9">
        <v>4000</v>
      </c>
      <c r="L6" s="8">
        <f t="shared" si="0"/>
        <v>0</v>
      </c>
    </row>
    <row r="7" spans="1:12" ht="150.75" customHeight="1" thickBot="1" x14ac:dyDescent="0.3">
      <c r="A7" s="50"/>
      <c r="B7" s="13" t="s">
        <v>157</v>
      </c>
      <c r="C7" s="12" t="s">
        <v>26</v>
      </c>
      <c r="D7" s="12" t="s">
        <v>24</v>
      </c>
      <c r="E7" s="13" t="s">
        <v>59</v>
      </c>
      <c r="F7" s="22" t="s">
        <v>4</v>
      </c>
      <c r="G7" s="13" t="s">
        <v>0</v>
      </c>
      <c r="H7" s="12" t="s">
        <v>218</v>
      </c>
      <c r="I7" s="11">
        <v>2000</v>
      </c>
      <c r="J7" s="10"/>
      <c r="K7" s="9">
        <v>2000</v>
      </c>
      <c r="L7" s="8">
        <f t="shared" si="0"/>
        <v>0</v>
      </c>
    </row>
    <row r="8" spans="1:12" ht="150.75" customHeight="1" thickBot="1" x14ac:dyDescent="0.3">
      <c r="A8" s="50"/>
      <c r="B8" s="13" t="s">
        <v>35</v>
      </c>
      <c r="C8" s="12" t="s">
        <v>34</v>
      </c>
      <c r="D8" s="12" t="s">
        <v>24</v>
      </c>
      <c r="E8" s="13" t="s">
        <v>33</v>
      </c>
      <c r="F8" s="22" t="s">
        <v>4</v>
      </c>
      <c r="G8" s="13" t="s">
        <v>0</v>
      </c>
      <c r="H8" s="12" t="s">
        <v>218</v>
      </c>
      <c r="I8" s="11">
        <v>2000</v>
      </c>
      <c r="J8" s="10"/>
      <c r="K8" s="9">
        <v>2000</v>
      </c>
      <c r="L8" s="8">
        <f t="shared" si="0"/>
        <v>0</v>
      </c>
    </row>
    <row r="9" spans="1:12" ht="150.75" customHeight="1" thickBot="1" x14ac:dyDescent="0.3">
      <c r="A9" s="50"/>
      <c r="B9" s="13" t="s">
        <v>38</v>
      </c>
      <c r="C9" s="12" t="s">
        <v>15</v>
      </c>
      <c r="D9" s="12" t="s">
        <v>24</v>
      </c>
      <c r="E9" s="13" t="s">
        <v>96</v>
      </c>
      <c r="F9" s="22" t="s">
        <v>4</v>
      </c>
      <c r="G9" s="13" t="s">
        <v>0</v>
      </c>
      <c r="H9" s="12" t="s">
        <v>218</v>
      </c>
      <c r="I9" s="11">
        <v>2000</v>
      </c>
      <c r="J9" s="10"/>
      <c r="K9" s="9">
        <v>2000</v>
      </c>
      <c r="L9" s="8">
        <f t="shared" si="0"/>
        <v>0</v>
      </c>
    </row>
    <row r="10" spans="1:12" ht="150.75" customHeight="1" thickBot="1" x14ac:dyDescent="0.3">
      <c r="A10" s="50"/>
      <c r="B10" s="13" t="s">
        <v>77</v>
      </c>
      <c r="C10" s="12" t="s">
        <v>27</v>
      </c>
      <c r="D10" s="12" t="s">
        <v>24</v>
      </c>
      <c r="E10" s="13" t="s">
        <v>76</v>
      </c>
      <c r="F10" s="22" t="s">
        <v>4</v>
      </c>
      <c r="G10" s="13" t="s">
        <v>8</v>
      </c>
      <c r="H10" s="12" t="s">
        <v>218</v>
      </c>
      <c r="I10" s="11">
        <v>140</v>
      </c>
      <c r="J10" s="10"/>
      <c r="K10" s="9">
        <v>140</v>
      </c>
      <c r="L10" s="8">
        <f t="shared" si="0"/>
        <v>0</v>
      </c>
    </row>
    <row r="11" spans="1:12" ht="150.75" customHeight="1" thickBot="1" x14ac:dyDescent="0.3">
      <c r="A11" s="50"/>
      <c r="B11" s="13" t="s">
        <v>77</v>
      </c>
      <c r="C11" s="12" t="s">
        <v>27</v>
      </c>
      <c r="D11" s="12" t="s">
        <v>24</v>
      </c>
      <c r="E11" s="13" t="s">
        <v>76</v>
      </c>
      <c r="F11" s="22" t="s">
        <v>4</v>
      </c>
      <c r="G11" s="13" t="s">
        <v>0</v>
      </c>
      <c r="H11" s="12" t="s">
        <v>218</v>
      </c>
      <c r="I11" s="11">
        <v>3041</v>
      </c>
      <c r="J11" s="10"/>
      <c r="K11" s="9">
        <v>3041</v>
      </c>
      <c r="L11" s="8">
        <f t="shared" si="0"/>
        <v>0</v>
      </c>
    </row>
    <row r="12" spans="1:12" ht="150.75" customHeight="1" thickBot="1" x14ac:dyDescent="0.3">
      <c r="A12" s="50"/>
      <c r="B12" s="13" t="s">
        <v>77</v>
      </c>
      <c r="C12" s="12" t="s">
        <v>27</v>
      </c>
      <c r="D12" s="12" t="s">
        <v>24</v>
      </c>
      <c r="E12" s="13" t="s">
        <v>55</v>
      </c>
      <c r="F12" s="22" t="s">
        <v>9</v>
      </c>
      <c r="G12" s="13" t="s">
        <v>0</v>
      </c>
      <c r="H12" s="12" t="s">
        <v>218</v>
      </c>
      <c r="I12" s="11">
        <v>2000</v>
      </c>
      <c r="J12" s="10">
        <v>1000</v>
      </c>
      <c r="K12" s="9">
        <v>1000</v>
      </c>
      <c r="L12" s="8">
        <f t="shared" si="0"/>
        <v>0</v>
      </c>
    </row>
    <row r="13" spans="1:12" ht="150.75" customHeight="1" thickBot="1" x14ac:dyDescent="0.3">
      <c r="A13" s="50"/>
      <c r="B13" s="13" t="s">
        <v>112</v>
      </c>
      <c r="C13" s="12" t="s">
        <v>113</v>
      </c>
      <c r="D13" s="12" t="s">
        <v>24</v>
      </c>
      <c r="E13" s="13" t="s">
        <v>242</v>
      </c>
      <c r="F13" s="22" t="s">
        <v>4</v>
      </c>
      <c r="G13" s="13" t="s">
        <v>8</v>
      </c>
      <c r="H13" s="12" t="s">
        <v>218</v>
      </c>
      <c r="I13" s="11">
        <v>60</v>
      </c>
      <c r="J13" s="10"/>
      <c r="K13" s="9">
        <v>60</v>
      </c>
      <c r="L13" s="8">
        <f t="shared" si="0"/>
        <v>0</v>
      </c>
    </row>
    <row r="14" spans="1:12" ht="150.75" customHeight="1" thickBot="1" x14ac:dyDescent="0.3">
      <c r="A14" s="50"/>
      <c r="B14" s="13" t="s">
        <v>112</v>
      </c>
      <c r="C14" s="12" t="s">
        <v>113</v>
      </c>
      <c r="D14" s="12" t="s">
        <v>24</v>
      </c>
      <c r="E14" s="13" t="s">
        <v>242</v>
      </c>
      <c r="F14" s="22" t="s">
        <v>4</v>
      </c>
      <c r="G14" s="13" t="s">
        <v>0</v>
      </c>
      <c r="H14" s="12" t="s">
        <v>218</v>
      </c>
      <c r="I14" s="11">
        <v>1000</v>
      </c>
      <c r="J14" s="10"/>
      <c r="K14" s="9">
        <v>1000</v>
      </c>
      <c r="L14" s="8">
        <f t="shared" si="0"/>
        <v>0</v>
      </c>
    </row>
    <row r="15" spans="1:12" ht="150.75" customHeight="1" thickBot="1" x14ac:dyDescent="0.3">
      <c r="A15" s="50"/>
      <c r="B15" s="13" t="s">
        <v>112</v>
      </c>
      <c r="C15" s="12" t="s">
        <v>113</v>
      </c>
      <c r="D15" s="12" t="s">
        <v>24</v>
      </c>
      <c r="E15" s="13" t="s">
        <v>115</v>
      </c>
      <c r="F15" s="22" t="s">
        <v>9</v>
      </c>
      <c r="G15" s="13" t="s">
        <v>0</v>
      </c>
      <c r="H15" s="12" t="s">
        <v>215</v>
      </c>
      <c r="I15" s="11">
        <v>1564</v>
      </c>
      <c r="J15" s="10"/>
      <c r="K15" s="9">
        <v>1564</v>
      </c>
      <c r="L15" s="8">
        <f t="shared" si="0"/>
        <v>0</v>
      </c>
    </row>
    <row r="16" spans="1:12" ht="150.75" customHeight="1" thickBot="1" x14ac:dyDescent="0.3">
      <c r="A16" s="50"/>
      <c r="B16" s="13" t="s">
        <v>32</v>
      </c>
      <c r="C16" s="12" t="s">
        <v>31</v>
      </c>
      <c r="D16" s="12" t="s">
        <v>24</v>
      </c>
      <c r="E16" s="13" t="s">
        <v>247</v>
      </c>
      <c r="F16" s="22" t="s">
        <v>4</v>
      </c>
      <c r="G16" s="13" t="s">
        <v>0</v>
      </c>
      <c r="H16" s="12" t="s">
        <v>218</v>
      </c>
      <c r="I16" s="11">
        <v>380</v>
      </c>
      <c r="J16" s="10"/>
      <c r="K16" s="9">
        <v>380</v>
      </c>
      <c r="L16" s="8">
        <f t="shared" si="0"/>
        <v>0</v>
      </c>
    </row>
    <row r="17" spans="1:12" ht="150.75" customHeight="1" thickBot="1" x14ac:dyDescent="0.3">
      <c r="A17" s="50"/>
      <c r="B17" s="13" t="s">
        <v>32</v>
      </c>
      <c r="C17" s="12" t="s">
        <v>31</v>
      </c>
      <c r="D17" s="12" t="s">
        <v>24</v>
      </c>
      <c r="E17" s="13" t="s">
        <v>248</v>
      </c>
      <c r="F17" s="22" t="s">
        <v>4</v>
      </c>
      <c r="G17" s="13" t="s">
        <v>8</v>
      </c>
      <c r="H17" s="12" t="s">
        <v>218</v>
      </c>
      <c r="I17" s="11">
        <v>150</v>
      </c>
      <c r="J17" s="10"/>
      <c r="K17" s="9">
        <v>150</v>
      </c>
      <c r="L17" s="8">
        <f t="shared" si="0"/>
        <v>0</v>
      </c>
    </row>
    <row r="18" spans="1:12" ht="150.75" customHeight="1" thickBot="1" x14ac:dyDescent="0.3">
      <c r="A18" s="50"/>
      <c r="B18" s="13" t="s">
        <v>32</v>
      </c>
      <c r="C18" s="12" t="s">
        <v>31</v>
      </c>
      <c r="D18" s="12" t="s">
        <v>24</v>
      </c>
      <c r="E18" s="13" t="s">
        <v>248</v>
      </c>
      <c r="F18" s="22" t="s">
        <v>4</v>
      </c>
      <c r="G18" s="13" t="s">
        <v>0</v>
      </c>
      <c r="H18" s="12" t="s">
        <v>218</v>
      </c>
      <c r="I18" s="11">
        <v>2020</v>
      </c>
      <c r="J18" s="10"/>
      <c r="K18" s="9">
        <v>2020</v>
      </c>
      <c r="L18" s="8">
        <f t="shared" si="0"/>
        <v>0</v>
      </c>
    </row>
    <row r="19" spans="1:12" ht="150.75" customHeight="1" thickBot="1" x14ac:dyDescent="0.3">
      <c r="A19" s="50" t="s">
        <v>36</v>
      </c>
      <c r="B19" s="13" t="s">
        <v>239</v>
      </c>
      <c r="C19" s="12" t="s">
        <v>163</v>
      </c>
      <c r="D19" s="12" t="s">
        <v>24</v>
      </c>
      <c r="E19" s="13" t="s">
        <v>249</v>
      </c>
      <c r="F19" s="22" t="s">
        <v>102</v>
      </c>
      <c r="G19" s="13" t="s">
        <v>37</v>
      </c>
      <c r="H19" s="12" t="s">
        <v>79</v>
      </c>
      <c r="I19" s="11">
        <v>172</v>
      </c>
      <c r="J19" s="10"/>
      <c r="K19" s="9">
        <v>172</v>
      </c>
      <c r="L19" s="8">
        <f t="shared" si="0"/>
        <v>0</v>
      </c>
    </row>
    <row r="20" spans="1:12" ht="150.75" customHeight="1" thickBot="1" x14ac:dyDescent="0.3">
      <c r="A20" s="50"/>
      <c r="B20" s="13" t="s">
        <v>239</v>
      </c>
      <c r="C20" s="12" t="s">
        <v>163</v>
      </c>
      <c r="D20" s="12" t="s">
        <v>24</v>
      </c>
      <c r="E20" s="13" t="s">
        <v>250</v>
      </c>
      <c r="F20" s="22" t="s">
        <v>102</v>
      </c>
      <c r="G20" s="13" t="s">
        <v>37</v>
      </c>
      <c r="H20" s="12" t="s">
        <v>79</v>
      </c>
      <c r="I20" s="11">
        <v>84</v>
      </c>
      <c r="J20" s="10"/>
      <c r="K20" s="9">
        <v>84</v>
      </c>
      <c r="L20" s="8">
        <f t="shared" si="0"/>
        <v>0</v>
      </c>
    </row>
    <row r="21" spans="1:12" ht="150.75" customHeight="1" thickBot="1" x14ac:dyDescent="0.3">
      <c r="A21" s="50"/>
      <c r="B21" s="13" t="s">
        <v>239</v>
      </c>
      <c r="C21" s="12" t="s">
        <v>163</v>
      </c>
      <c r="D21" s="12" t="s">
        <v>24</v>
      </c>
      <c r="E21" s="13" t="s">
        <v>251</v>
      </c>
      <c r="F21" s="22" t="s">
        <v>102</v>
      </c>
      <c r="G21" s="13" t="s">
        <v>37</v>
      </c>
      <c r="H21" s="12" t="s">
        <v>79</v>
      </c>
      <c r="I21" s="11">
        <v>62</v>
      </c>
      <c r="J21" s="10"/>
      <c r="K21" s="9">
        <v>62</v>
      </c>
      <c r="L21" s="8">
        <f t="shared" si="0"/>
        <v>0</v>
      </c>
    </row>
    <row r="22" spans="1:12" ht="150.75" customHeight="1" thickBot="1" x14ac:dyDescent="0.3">
      <c r="A22" s="50"/>
      <c r="B22" s="13" t="s">
        <v>239</v>
      </c>
      <c r="C22" s="12" t="s">
        <v>163</v>
      </c>
      <c r="D22" s="12" t="s">
        <v>24</v>
      </c>
      <c r="E22" s="13" t="s">
        <v>252</v>
      </c>
      <c r="F22" s="22" t="s">
        <v>102</v>
      </c>
      <c r="G22" s="13" t="s">
        <v>37</v>
      </c>
      <c r="H22" s="12" t="s">
        <v>79</v>
      </c>
      <c r="I22" s="11">
        <v>1170</v>
      </c>
      <c r="J22" s="10"/>
      <c r="K22" s="9">
        <v>1170</v>
      </c>
      <c r="L22" s="8">
        <f t="shared" si="0"/>
        <v>0</v>
      </c>
    </row>
    <row r="23" spans="1:12" ht="150.75" customHeight="1" thickBot="1" x14ac:dyDescent="0.3">
      <c r="A23" s="50"/>
      <c r="B23" s="24" t="s">
        <v>35</v>
      </c>
      <c r="C23" s="12" t="s">
        <v>34</v>
      </c>
      <c r="D23" s="12" t="s">
        <v>24</v>
      </c>
      <c r="E23" s="13" t="s">
        <v>33</v>
      </c>
      <c r="F23" s="22" t="s">
        <v>4</v>
      </c>
      <c r="G23" s="13" t="s">
        <v>0</v>
      </c>
      <c r="H23" s="12" t="s">
        <v>218</v>
      </c>
      <c r="I23" s="11">
        <v>1500</v>
      </c>
      <c r="J23" s="10"/>
      <c r="K23" s="9">
        <v>1500</v>
      </c>
      <c r="L23" s="8">
        <f t="shared" si="0"/>
        <v>0</v>
      </c>
    </row>
    <row r="24" spans="1:12" ht="150.75" customHeight="1" thickBot="1" x14ac:dyDescent="0.3">
      <c r="A24" s="50"/>
      <c r="B24" s="24" t="s">
        <v>61</v>
      </c>
      <c r="C24" s="12" t="s">
        <v>31</v>
      </c>
      <c r="D24" s="12" t="s">
        <v>24</v>
      </c>
      <c r="E24" s="13" t="s">
        <v>97</v>
      </c>
      <c r="F24" s="22" t="s">
        <v>4</v>
      </c>
      <c r="G24" s="13" t="s">
        <v>0</v>
      </c>
      <c r="H24" s="12" t="s">
        <v>215</v>
      </c>
      <c r="I24" s="11">
        <v>1300</v>
      </c>
      <c r="J24" s="10"/>
      <c r="K24" s="9">
        <v>1300</v>
      </c>
      <c r="L24" s="8">
        <f t="shared" si="0"/>
        <v>0</v>
      </c>
    </row>
    <row r="25" spans="1:12" ht="150.75" customHeight="1" thickBot="1" x14ac:dyDescent="0.3">
      <c r="A25" s="50"/>
      <c r="B25" s="24" t="s">
        <v>61</v>
      </c>
      <c r="C25" s="12" t="s">
        <v>31</v>
      </c>
      <c r="D25" s="12" t="s">
        <v>24</v>
      </c>
      <c r="E25" s="13" t="s">
        <v>78</v>
      </c>
      <c r="F25" s="22" t="s">
        <v>4</v>
      </c>
      <c r="G25" s="13" t="s">
        <v>0</v>
      </c>
      <c r="H25" s="12" t="s">
        <v>218</v>
      </c>
      <c r="I25" s="11">
        <v>555</v>
      </c>
      <c r="J25" s="10"/>
      <c r="K25" s="9">
        <v>555</v>
      </c>
      <c r="L25" s="8">
        <f t="shared" si="0"/>
        <v>0</v>
      </c>
    </row>
    <row r="26" spans="1:12" ht="150.75" customHeight="1" thickBot="1" x14ac:dyDescent="0.3">
      <c r="A26" s="50"/>
      <c r="B26" s="24" t="s">
        <v>32</v>
      </c>
      <c r="C26" s="12" t="s">
        <v>31</v>
      </c>
      <c r="D26" s="12" t="s">
        <v>24</v>
      </c>
      <c r="E26" s="13" t="s">
        <v>71</v>
      </c>
      <c r="F26" s="22" t="s">
        <v>4</v>
      </c>
      <c r="G26" s="13" t="s">
        <v>0</v>
      </c>
      <c r="H26" s="12" t="s">
        <v>218</v>
      </c>
      <c r="I26" s="11">
        <v>1180</v>
      </c>
      <c r="J26" s="10"/>
      <c r="K26" s="9">
        <v>1180</v>
      </c>
      <c r="L26" s="8">
        <f t="shared" si="0"/>
        <v>0</v>
      </c>
    </row>
    <row r="27" spans="1:12" ht="150.75" customHeight="1" thickBot="1" x14ac:dyDescent="0.3">
      <c r="A27" s="50"/>
      <c r="B27" s="24" t="s">
        <v>40</v>
      </c>
      <c r="C27" s="12" t="s">
        <v>27</v>
      </c>
      <c r="D27" s="12" t="s">
        <v>24</v>
      </c>
      <c r="E27" s="13" t="s">
        <v>55</v>
      </c>
      <c r="F27" s="22" t="s">
        <v>9</v>
      </c>
      <c r="G27" s="13" t="s">
        <v>0</v>
      </c>
      <c r="H27" s="12" t="s">
        <v>218</v>
      </c>
      <c r="I27" s="11">
        <v>2000</v>
      </c>
      <c r="J27" s="10"/>
      <c r="K27" s="9">
        <v>2000</v>
      </c>
      <c r="L27" s="8">
        <f t="shared" si="0"/>
        <v>0</v>
      </c>
    </row>
    <row r="28" spans="1:12" ht="150.75" customHeight="1" thickBot="1" x14ac:dyDescent="0.3">
      <c r="A28" s="50"/>
      <c r="B28" s="24" t="s">
        <v>40</v>
      </c>
      <c r="C28" s="12" t="s">
        <v>27</v>
      </c>
      <c r="D28" s="12" t="s">
        <v>24</v>
      </c>
      <c r="E28" s="13" t="s">
        <v>76</v>
      </c>
      <c r="F28" s="22" t="s">
        <v>4</v>
      </c>
      <c r="G28" s="13" t="s">
        <v>8</v>
      </c>
      <c r="H28" s="12" t="s">
        <v>253</v>
      </c>
      <c r="I28" s="11">
        <v>1000</v>
      </c>
      <c r="J28" s="10"/>
      <c r="K28" s="9">
        <v>1000</v>
      </c>
      <c r="L28" s="8">
        <f t="shared" si="0"/>
        <v>0</v>
      </c>
    </row>
    <row r="29" spans="1:12" ht="150.75" customHeight="1" thickBot="1" x14ac:dyDescent="0.3">
      <c r="A29" s="50"/>
      <c r="B29" s="24" t="s">
        <v>40</v>
      </c>
      <c r="C29" s="12" t="s">
        <v>27</v>
      </c>
      <c r="D29" s="12" t="s">
        <v>24</v>
      </c>
      <c r="E29" s="13" t="s">
        <v>76</v>
      </c>
      <c r="F29" s="22" t="s">
        <v>4</v>
      </c>
      <c r="G29" s="13" t="s">
        <v>0</v>
      </c>
      <c r="H29" s="12" t="s">
        <v>215</v>
      </c>
      <c r="I29" s="11">
        <v>140</v>
      </c>
      <c r="J29" s="10"/>
      <c r="K29" s="9">
        <v>140</v>
      </c>
      <c r="L29" s="8">
        <f t="shared" si="0"/>
        <v>0</v>
      </c>
    </row>
    <row r="30" spans="1:12" ht="150.75" customHeight="1" thickBot="1" x14ac:dyDescent="0.3">
      <c r="A30" s="50"/>
      <c r="B30" s="24" t="s">
        <v>40</v>
      </c>
      <c r="C30" s="12" t="s">
        <v>27</v>
      </c>
      <c r="D30" s="12" t="s">
        <v>24</v>
      </c>
      <c r="E30" s="13" t="s">
        <v>76</v>
      </c>
      <c r="F30" s="22" t="s">
        <v>4</v>
      </c>
      <c r="G30" s="13" t="s">
        <v>0</v>
      </c>
      <c r="H30" s="12" t="s">
        <v>218</v>
      </c>
      <c r="I30" s="11">
        <v>2041</v>
      </c>
      <c r="J30" s="10"/>
      <c r="K30" s="9">
        <v>2041</v>
      </c>
      <c r="L30" s="8">
        <f t="shared" si="0"/>
        <v>0</v>
      </c>
    </row>
    <row r="31" spans="1:12" ht="150.75" customHeight="1" thickBot="1" x14ac:dyDescent="0.3">
      <c r="A31" s="50"/>
      <c r="B31" s="24" t="s">
        <v>38</v>
      </c>
      <c r="C31" s="12" t="s">
        <v>15</v>
      </c>
      <c r="D31" s="12" t="s">
        <v>24</v>
      </c>
      <c r="E31" s="13" t="s">
        <v>96</v>
      </c>
      <c r="F31" s="22" t="s">
        <v>4</v>
      </c>
      <c r="G31" s="13" t="s">
        <v>0</v>
      </c>
      <c r="H31" s="12" t="s">
        <v>218</v>
      </c>
      <c r="I31" s="11">
        <v>2000</v>
      </c>
      <c r="J31" s="10"/>
      <c r="K31" s="9">
        <v>2000</v>
      </c>
      <c r="L31" s="8">
        <f t="shared" si="0"/>
        <v>0</v>
      </c>
    </row>
    <row r="32" spans="1:12" ht="150.75" customHeight="1" thickBot="1" x14ac:dyDescent="0.3">
      <c r="A32" s="50"/>
      <c r="B32" s="24" t="s">
        <v>77</v>
      </c>
      <c r="C32" s="12" t="s">
        <v>27</v>
      </c>
      <c r="D32" s="12" t="s">
        <v>24</v>
      </c>
      <c r="E32" s="13" t="s">
        <v>76</v>
      </c>
      <c r="F32" s="22" t="s">
        <v>4</v>
      </c>
      <c r="G32" s="13" t="s">
        <v>0</v>
      </c>
      <c r="H32" s="12" t="s">
        <v>218</v>
      </c>
      <c r="I32" s="11">
        <v>1500</v>
      </c>
      <c r="J32" s="10"/>
      <c r="K32" s="9">
        <v>1500</v>
      </c>
      <c r="L32" s="8">
        <f t="shared" si="0"/>
        <v>0</v>
      </c>
    </row>
    <row r="33" spans="1:12" ht="150.75" customHeight="1" thickBot="1" x14ac:dyDescent="0.3">
      <c r="A33" s="50"/>
      <c r="B33" s="24" t="s">
        <v>157</v>
      </c>
      <c r="C33" s="12" t="s">
        <v>26</v>
      </c>
      <c r="D33" s="12" t="s">
        <v>24</v>
      </c>
      <c r="E33" s="13" t="s">
        <v>59</v>
      </c>
      <c r="F33" s="22" t="s">
        <v>4</v>
      </c>
      <c r="G33" s="13" t="s">
        <v>0</v>
      </c>
      <c r="H33" s="12" t="s">
        <v>218</v>
      </c>
      <c r="I33" s="11">
        <v>1720</v>
      </c>
      <c r="J33" s="10"/>
      <c r="K33" s="9">
        <v>1720</v>
      </c>
      <c r="L33" s="8">
        <f t="shared" si="0"/>
        <v>0</v>
      </c>
    </row>
    <row r="34" spans="1:12" ht="150.75" customHeight="1" thickBot="1" x14ac:dyDescent="0.3">
      <c r="A34" s="50"/>
      <c r="B34" s="24" t="s">
        <v>112</v>
      </c>
      <c r="C34" s="12" t="s">
        <v>113</v>
      </c>
      <c r="D34" s="12" t="s">
        <v>24</v>
      </c>
      <c r="E34" s="13" t="s">
        <v>115</v>
      </c>
      <c r="F34" s="22" t="s">
        <v>9</v>
      </c>
      <c r="G34" s="13" t="s">
        <v>0</v>
      </c>
      <c r="H34" s="12" t="s">
        <v>215</v>
      </c>
      <c r="I34" s="11">
        <v>3064</v>
      </c>
      <c r="J34" s="10"/>
      <c r="K34" s="9">
        <v>3064</v>
      </c>
      <c r="L34" s="8">
        <f t="shared" si="0"/>
        <v>0</v>
      </c>
    </row>
    <row r="35" spans="1:12" ht="150.75" customHeight="1" thickBot="1" x14ac:dyDescent="0.3">
      <c r="A35" s="50" t="s">
        <v>23</v>
      </c>
      <c r="B35" s="24" t="s">
        <v>12</v>
      </c>
      <c r="C35" s="12" t="s">
        <v>6</v>
      </c>
      <c r="D35" s="12" t="s">
        <v>20</v>
      </c>
      <c r="E35" s="13" t="s">
        <v>22</v>
      </c>
      <c r="F35" s="22" t="s">
        <v>4</v>
      </c>
      <c r="G35" s="13" t="s">
        <v>0</v>
      </c>
      <c r="H35" s="12" t="s">
        <v>218</v>
      </c>
      <c r="I35" s="11">
        <v>4860</v>
      </c>
      <c r="J35" s="10">
        <v>1000</v>
      </c>
      <c r="K35" s="9">
        <v>3860</v>
      </c>
      <c r="L35" s="8">
        <f t="shared" si="0"/>
        <v>0</v>
      </c>
    </row>
    <row r="36" spans="1:12" ht="150.75" customHeight="1" thickBot="1" x14ac:dyDescent="0.3">
      <c r="A36" s="50"/>
      <c r="B36" s="24" t="s">
        <v>21</v>
      </c>
      <c r="C36" s="12" t="s">
        <v>118</v>
      </c>
      <c r="D36" s="12" t="s">
        <v>20</v>
      </c>
      <c r="E36" s="13" t="s">
        <v>222</v>
      </c>
      <c r="F36" s="22" t="s">
        <v>4</v>
      </c>
      <c r="G36" s="13" t="s">
        <v>0</v>
      </c>
      <c r="H36" s="12" t="s">
        <v>218</v>
      </c>
      <c r="I36" s="11">
        <v>263</v>
      </c>
      <c r="J36" s="10"/>
      <c r="K36" s="9">
        <v>263</v>
      </c>
      <c r="L36" s="8">
        <f t="shared" si="0"/>
        <v>0</v>
      </c>
    </row>
    <row r="37" spans="1:12" ht="150.75" customHeight="1" thickBot="1" x14ac:dyDescent="0.3">
      <c r="A37" s="50"/>
      <c r="B37" s="24" t="s">
        <v>21</v>
      </c>
      <c r="C37" s="12" t="s">
        <v>118</v>
      </c>
      <c r="D37" s="12" t="s">
        <v>20</v>
      </c>
      <c r="E37" s="13" t="s">
        <v>119</v>
      </c>
      <c r="F37" s="22" t="s">
        <v>4</v>
      </c>
      <c r="G37" s="13" t="s">
        <v>0</v>
      </c>
      <c r="H37" s="12" t="s">
        <v>218</v>
      </c>
      <c r="I37" s="11">
        <v>2895</v>
      </c>
      <c r="J37" s="10">
        <v>1000</v>
      </c>
      <c r="K37" s="9">
        <v>1895</v>
      </c>
      <c r="L37" s="8">
        <f t="shared" si="0"/>
        <v>0</v>
      </c>
    </row>
    <row r="38" spans="1:12" ht="150.75" customHeight="1" thickBot="1" x14ac:dyDescent="0.3">
      <c r="A38" s="50"/>
      <c r="B38" s="24" t="s">
        <v>21</v>
      </c>
      <c r="C38" s="12" t="s">
        <v>3</v>
      </c>
      <c r="D38" s="12" t="s">
        <v>20</v>
      </c>
      <c r="E38" s="13" t="s">
        <v>56</v>
      </c>
      <c r="F38" s="22" t="s">
        <v>9</v>
      </c>
      <c r="G38" s="13" t="s">
        <v>0</v>
      </c>
      <c r="H38" s="12" t="s">
        <v>215</v>
      </c>
      <c r="I38" s="11">
        <v>5000</v>
      </c>
      <c r="J38" s="10"/>
      <c r="K38" s="9">
        <v>5000</v>
      </c>
      <c r="L38" s="8">
        <f t="shared" si="0"/>
        <v>0</v>
      </c>
    </row>
    <row r="39" spans="1:12" ht="150.75" customHeight="1" thickBot="1" x14ac:dyDescent="0.3">
      <c r="A39" s="50"/>
      <c r="B39" s="24" t="s">
        <v>21</v>
      </c>
      <c r="C39" s="12" t="s">
        <v>3</v>
      </c>
      <c r="D39" s="12" t="s">
        <v>20</v>
      </c>
      <c r="E39" s="13" t="s">
        <v>57</v>
      </c>
      <c r="F39" s="22" t="s">
        <v>9</v>
      </c>
      <c r="G39" s="13" t="s">
        <v>0</v>
      </c>
      <c r="H39" s="12" t="s">
        <v>215</v>
      </c>
      <c r="I39" s="11">
        <v>5000</v>
      </c>
      <c r="J39" s="10"/>
      <c r="K39" s="9">
        <v>5000</v>
      </c>
      <c r="L39" s="8">
        <f t="shared" si="0"/>
        <v>0</v>
      </c>
    </row>
    <row r="40" spans="1:12" ht="150.75" customHeight="1" thickBot="1" x14ac:dyDescent="0.3">
      <c r="A40" s="50" t="s">
        <v>54</v>
      </c>
      <c r="B40" s="24" t="s">
        <v>104</v>
      </c>
      <c r="C40" s="12" t="s">
        <v>211</v>
      </c>
      <c r="D40" s="12" t="s">
        <v>60</v>
      </c>
      <c r="E40" s="13" t="s">
        <v>254</v>
      </c>
      <c r="F40" s="22" t="s">
        <v>64</v>
      </c>
      <c r="G40" s="13" t="s">
        <v>37</v>
      </c>
      <c r="H40" s="12" t="s">
        <v>215</v>
      </c>
      <c r="I40" s="11">
        <v>6</v>
      </c>
      <c r="J40" s="10">
        <v>6</v>
      </c>
      <c r="K40" s="9"/>
      <c r="L40" s="8">
        <f t="shared" si="0"/>
        <v>0</v>
      </c>
    </row>
    <row r="41" spans="1:12" ht="150.75" customHeight="1" thickBot="1" x14ac:dyDescent="0.3">
      <c r="A41" s="50"/>
      <c r="B41" s="24" t="s">
        <v>104</v>
      </c>
      <c r="C41" s="12" t="s">
        <v>211</v>
      </c>
      <c r="D41" s="12" t="s">
        <v>60</v>
      </c>
      <c r="E41" s="13" t="s">
        <v>255</v>
      </c>
      <c r="F41" s="22" t="s">
        <v>64</v>
      </c>
      <c r="G41" s="13" t="s">
        <v>37</v>
      </c>
      <c r="H41" s="12" t="s">
        <v>215</v>
      </c>
      <c r="I41" s="11">
        <v>25</v>
      </c>
      <c r="J41" s="10">
        <v>25</v>
      </c>
      <c r="K41" s="9"/>
      <c r="L41" s="8">
        <f t="shared" si="0"/>
        <v>0</v>
      </c>
    </row>
    <row r="42" spans="1:12" ht="150.75" customHeight="1" thickBot="1" x14ac:dyDescent="0.3">
      <c r="A42" s="50"/>
      <c r="B42" s="24" t="s">
        <v>104</v>
      </c>
      <c r="C42" s="12" t="s">
        <v>211</v>
      </c>
      <c r="D42" s="12" t="s">
        <v>60</v>
      </c>
      <c r="E42" s="13" t="s">
        <v>256</v>
      </c>
      <c r="F42" s="22" t="s">
        <v>64</v>
      </c>
      <c r="G42" s="13" t="s">
        <v>37</v>
      </c>
      <c r="H42" s="12" t="s">
        <v>215</v>
      </c>
      <c r="I42" s="11">
        <v>54</v>
      </c>
      <c r="J42" s="10">
        <v>54</v>
      </c>
      <c r="K42" s="9"/>
      <c r="L42" s="8">
        <f t="shared" si="0"/>
        <v>0</v>
      </c>
    </row>
    <row r="43" spans="1:12" ht="150.75" customHeight="1" thickBot="1" x14ac:dyDescent="0.3">
      <c r="A43" s="50"/>
      <c r="B43" s="24" t="s">
        <v>104</v>
      </c>
      <c r="C43" s="12" t="s">
        <v>211</v>
      </c>
      <c r="D43" s="12" t="s">
        <v>60</v>
      </c>
      <c r="E43" s="13" t="s">
        <v>257</v>
      </c>
      <c r="F43" s="22" t="s">
        <v>64</v>
      </c>
      <c r="G43" s="13" t="s">
        <v>37</v>
      </c>
      <c r="H43" s="12" t="s">
        <v>215</v>
      </c>
      <c r="I43" s="11">
        <v>179</v>
      </c>
      <c r="J43" s="10">
        <v>179</v>
      </c>
      <c r="K43" s="9"/>
      <c r="L43" s="8">
        <f t="shared" si="0"/>
        <v>0</v>
      </c>
    </row>
    <row r="44" spans="1:12" ht="150.75" customHeight="1" thickBot="1" x14ac:dyDescent="0.3">
      <c r="A44" s="50"/>
      <c r="B44" s="24" t="s">
        <v>104</v>
      </c>
      <c r="C44" s="12" t="s">
        <v>118</v>
      </c>
      <c r="D44" s="12" t="s">
        <v>60</v>
      </c>
      <c r="E44" s="13" t="s">
        <v>258</v>
      </c>
      <c r="F44" s="22" t="s">
        <v>64</v>
      </c>
      <c r="G44" s="13" t="s">
        <v>37</v>
      </c>
      <c r="H44" s="12" t="s">
        <v>215</v>
      </c>
      <c r="I44" s="11">
        <v>89</v>
      </c>
      <c r="J44" s="10">
        <v>89</v>
      </c>
      <c r="K44" s="9"/>
      <c r="L44" s="8">
        <f t="shared" si="0"/>
        <v>0</v>
      </c>
    </row>
    <row r="45" spans="1:12" ht="150.75" customHeight="1" thickBot="1" x14ac:dyDescent="0.3">
      <c r="A45" s="50"/>
      <c r="B45" s="24" t="s">
        <v>104</v>
      </c>
      <c r="C45" s="12" t="s">
        <v>118</v>
      </c>
      <c r="D45" s="12" t="s">
        <v>60</v>
      </c>
      <c r="E45" s="13" t="s">
        <v>259</v>
      </c>
      <c r="F45" s="22" t="s">
        <v>64</v>
      </c>
      <c r="G45" s="13" t="s">
        <v>37</v>
      </c>
      <c r="H45" s="12" t="s">
        <v>215</v>
      </c>
      <c r="I45" s="11">
        <v>28</v>
      </c>
      <c r="J45" s="10">
        <v>28</v>
      </c>
      <c r="K45" s="9"/>
      <c r="L45" s="8">
        <f t="shared" si="0"/>
        <v>0</v>
      </c>
    </row>
    <row r="46" spans="1:12" ht="150.75" customHeight="1" thickBot="1" x14ac:dyDescent="0.3">
      <c r="A46" s="50"/>
      <c r="B46" s="24" t="s">
        <v>104</v>
      </c>
      <c r="C46" s="12" t="s">
        <v>118</v>
      </c>
      <c r="D46" s="12" t="s">
        <v>60</v>
      </c>
      <c r="E46" s="13" t="s">
        <v>260</v>
      </c>
      <c r="F46" s="22" t="s">
        <v>64</v>
      </c>
      <c r="G46" s="13" t="s">
        <v>37</v>
      </c>
      <c r="H46" s="12" t="s">
        <v>215</v>
      </c>
      <c r="I46" s="11">
        <v>36</v>
      </c>
      <c r="J46" s="10">
        <v>36</v>
      </c>
      <c r="K46" s="9"/>
      <c r="L46" s="8">
        <f t="shared" si="0"/>
        <v>0</v>
      </c>
    </row>
    <row r="47" spans="1:12" ht="150.75" customHeight="1" thickBot="1" x14ac:dyDescent="0.3">
      <c r="A47" s="50"/>
      <c r="B47" s="24" t="s">
        <v>104</v>
      </c>
      <c r="C47" s="12" t="s">
        <v>118</v>
      </c>
      <c r="D47" s="12" t="s">
        <v>60</v>
      </c>
      <c r="E47" s="13" t="s">
        <v>261</v>
      </c>
      <c r="F47" s="22" t="s">
        <v>64</v>
      </c>
      <c r="G47" s="13" t="s">
        <v>37</v>
      </c>
      <c r="H47" s="12" t="s">
        <v>215</v>
      </c>
      <c r="I47" s="11">
        <v>16</v>
      </c>
      <c r="J47" s="10">
        <v>16</v>
      </c>
      <c r="K47" s="9"/>
      <c r="L47" s="8">
        <f t="shared" si="0"/>
        <v>0</v>
      </c>
    </row>
    <row r="48" spans="1:12" ht="150.75" customHeight="1" thickBot="1" x14ac:dyDescent="0.3">
      <c r="A48" s="50"/>
      <c r="B48" s="24" t="s">
        <v>104</v>
      </c>
      <c r="C48" s="12" t="s">
        <v>118</v>
      </c>
      <c r="D48" s="12" t="s">
        <v>60</v>
      </c>
      <c r="E48" s="13" t="s">
        <v>262</v>
      </c>
      <c r="F48" s="22" t="s">
        <v>64</v>
      </c>
      <c r="G48" s="13" t="s">
        <v>37</v>
      </c>
      <c r="H48" s="12" t="s">
        <v>215</v>
      </c>
      <c r="I48" s="11">
        <v>1</v>
      </c>
      <c r="J48" s="10">
        <v>1</v>
      </c>
      <c r="K48" s="9"/>
      <c r="L48" s="8">
        <f t="shared" si="0"/>
        <v>0</v>
      </c>
    </row>
    <row r="49" spans="1:12" ht="150.75" customHeight="1" thickBot="1" x14ac:dyDescent="0.3">
      <c r="A49" s="50"/>
      <c r="B49" s="24" t="s">
        <v>104</v>
      </c>
      <c r="C49" s="12" t="s">
        <v>118</v>
      </c>
      <c r="D49" s="12" t="s">
        <v>60</v>
      </c>
      <c r="E49" s="13" t="s">
        <v>263</v>
      </c>
      <c r="F49" s="22" t="s">
        <v>64</v>
      </c>
      <c r="G49" s="13" t="s">
        <v>37</v>
      </c>
      <c r="H49" s="12" t="s">
        <v>215</v>
      </c>
      <c r="I49" s="11">
        <v>1</v>
      </c>
      <c r="J49" s="10">
        <v>1</v>
      </c>
      <c r="K49" s="9"/>
      <c r="L49" s="8">
        <f t="shared" si="0"/>
        <v>0</v>
      </c>
    </row>
    <row r="50" spans="1:12" ht="150.75" customHeight="1" thickBot="1" x14ac:dyDescent="0.3">
      <c r="A50" s="50"/>
      <c r="B50" s="24" t="s">
        <v>104</v>
      </c>
      <c r="C50" s="12" t="s">
        <v>118</v>
      </c>
      <c r="D50" s="12" t="s">
        <v>60</v>
      </c>
      <c r="E50" s="13" t="s">
        <v>264</v>
      </c>
      <c r="F50" s="22" t="s">
        <v>64</v>
      </c>
      <c r="G50" s="13" t="s">
        <v>37</v>
      </c>
      <c r="H50" s="12" t="s">
        <v>215</v>
      </c>
      <c r="I50" s="11">
        <v>1</v>
      </c>
      <c r="J50" s="10">
        <v>1</v>
      </c>
      <c r="K50" s="9"/>
      <c r="L50" s="8">
        <f t="shared" si="0"/>
        <v>0</v>
      </c>
    </row>
    <row r="51" spans="1:12" ht="150.75" customHeight="1" thickBot="1" x14ac:dyDescent="0.3">
      <c r="A51" s="50"/>
      <c r="B51" s="24" t="s">
        <v>104</v>
      </c>
      <c r="C51" s="12" t="s">
        <v>118</v>
      </c>
      <c r="D51" s="12" t="s">
        <v>60</v>
      </c>
      <c r="E51" s="13" t="s">
        <v>265</v>
      </c>
      <c r="F51" s="22" t="s">
        <v>64</v>
      </c>
      <c r="G51" s="13" t="s">
        <v>37</v>
      </c>
      <c r="H51" s="12" t="s">
        <v>215</v>
      </c>
      <c r="I51" s="11">
        <v>9</v>
      </c>
      <c r="J51" s="10">
        <v>9</v>
      </c>
      <c r="K51" s="9"/>
      <c r="L51" s="8">
        <f t="shared" si="0"/>
        <v>0</v>
      </c>
    </row>
    <row r="52" spans="1:12" ht="150.75" customHeight="1" thickBot="1" x14ac:dyDescent="0.3">
      <c r="A52" s="50"/>
      <c r="B52" s="24" t="s">
        <v>104</v>
      </c>
      <c r="C52" s="12" t="s">
        <v>118</v>
      </c>
      <c r="D52" s="12" t="s">
        <v>60</v>
      </c>
      <c r="E52" s="13" t="s">
        <v>266</v>
      </c>
      <c r="F52" s="22" t="s">
        <v>64</v>
      </c>
      <c r="G52" s="13" t="s">
        <v>37</v>
      </c>
      <c r="H52" s="12" t="s">
        <v>215</v>
      </c>
      <c r="I52" s="11">
        <v>7</v>
      </c>
      <c r="J52" s="10">
        <v>7</v>
      </c>
      <c r="K52" s="9"/>
      <c r="L52" s="8">
        <f t="shared" si="0"/>
        <v>0</v>
      </c>
    </row>
    <row r="53" spans="1:12" ht="150.75" customHeight="1" thickBot="1" x14ac:dyDescent="0.3">
      <c r="A53" s="50"/>
      <c r="B53" s="24" t="s">
        <v>104</v>
      </c>
      <c r="C53" s="12" t="s">
        <v>267</v>
      </c>
      <c r="D53" s="12" t="s">
        <v>60</v>
      </c>
      <c r="E53" s="13" t="s">
        <v>268</v>
      </c>
      <c r="F53" s="22" t="s">
        <v>64</v>
      </c>
      <c r="G53" s="13" t="s">
        <v>37</v>
      </c>
      <c r="H53" s="12" t="s">
        <v>215</v>
      </c>
      <c r="I53" s="11">
        <v>5</v>
      </c>
      <c r="J53" s="10">
        <v>5</v>
      </c>
      <c r="K53" s="9"/>
      <c r="L53" s="8">
        <f t="shared" si="0"/>
        <v>0</v>
      </c>
    </row>
    <row r="54" spans="1:12" ht="150.75" customHeight="1" thickBot="1" x14ac:dyDescent="0.3">
      <c r="A54" s="50"/>
      <c r="B54" s="24" t="s">
        <v>104</v>
      </c>
      <c r="C54" s="12" t="s">
        <v>69</v>
      </c>
      <c r="D54" s="12" t="s">
        <v>60</v>
      </c>
      <c r="E54" s="13" t="s">
        <v>269</v>
      </c>
      <c r="F54" s="22" t="s">
        <v>64</v>
      </c>
      <c r="G54" s="13" t="s">
        <v>37</v>
      </c>
      <c r="H54" s="12" t="s">
        <v>215</v>
      </c>
      <c r="I54" s="11">
        <v>58</v>
      </c>
      <c r="J54" s="10">
        <v>58</v>
      </c>
      <c r="K54" s="9"/>
      <c r="L54" s="8">
        <f t="shared" si="0"/>
        <v>0</v>
      </c>
    </row>
    <row r="55" spans="1:12" ht="150.75" customHeight="1" thickBot="1" x14ac:dyDescent="0.3">
      <c r="A55" s="50" t="s">
        <v>19</v>
      </c>
      <c r="B55" s="24" t="s">
        <v>7</v>
      </c>
      <c r="C55" s="12" t="s">
        <v>17</v>
      </c>
      <c r="D55" s="12" t="s">
        <v>120</v>
      </c>
      <c r="E55" s="13" t="s">
        <v>121</v>
      </c>
      <c r="F55" s="22" t="s">
        <v>122</v>
      </c>
      <c r="G55" s="13" t="s">
        <v>0</v>
      </c>
      <c r="H55" s="12" t="s">
        <v>218</v>
      </c>
      <c r="I55" s="11">
        <v>1000</v>
      </c>
      <c r="J55" s="10"/>
      <c r="K55" s="9">
        <v>1000</v>
      </c>
      <c r="L55" s="8">
        <f t="shared" si="0"/>
        <v>0</v>
      </c>
    </row>
    <row r="56" spans="1:12" ht="150.75" customHeight="1" thickBot="1" x14ac:dyDescent="0.3">
      <c r="A56" s="50"/>
      <c r="B56" s="24" t="s">
        <v>7</v>
      </c>
      <c r="C56" s="12" t="s">
        <v>15</v>
      </c>
      <c r="D56" s="12" t="s">
        <v>14</v>
      </c>
      <c r="E56" s="13" t="s">
        <v>13</v>
      </c>
      <c r="F56" s="22" t="s">
        <v>4</v>
      </c>
      <c r="G56" s="13" t="s">
        <v>8</v>
      </c>
      <c r="H56" s="12" t="s">
        <v>215</v>
      </c>
      <c r="I56" s="11">
        <v>60</v>
      </c>
      <c r="J56" s="10"/>
      <c r="K56" s="9">
        <v>60</v>
      </c>
      <c r="L56" s="8">
        <f t="shared" si="0"/>
        <v>0</v>
      </c>
    </row>
    <row r="57" spans="1:12" ht="150.75" customHeight="1" thickBot="1" x14ac:dyDescent="0.3">
      <c r="A57" s="50"/>
      <c r="B57" s="24" t="s">
        <v>7</v>
      </c>
      <c r="C57" s="12" t="s">
        <v>15</v>
      </c>
      <c r="D57" s="12" t="s">
        <v>14</v>
      </c>
      <c r="E57" s="13" t="s">
        <v>13</v>
      </c>
      <c r="F57" s="22" t="s">
        <v>4</v>
      </c>
      <c r="G57" s="13" t="s">
        <v>0</v>
      </c>
      <c r="H57" s="12" t="s">
        <v>270</v>
      </c>
      <c r="I57" s="11">
        <v>2270</v>
      </c>
      <c r="J57" s="10">
        <v>1000</v>
      </c>
      <c r="K57" s="9">
        <v>1270</v>
      </c>
      <c r="L57" s="8">
        <f t="shared" si="0"/>
        <v>0</v>
      </c>
    </row>
    <row r="58" spans="1:12" ht="150.75" customHeight="1" thickBot="1" x14ac:dyDescent="0.3">
      <c r="A58" s="50"/>
      <c r="B58" s="24" t="s">
        <v>12</v>
      </c>
      <c r="C58" s="12" t="s">
        <v>3</v>
      </c>
      <c r="D58" s="12" t="s">
        <v>11</v>
      </c>
      <c r="E58" s="13" t="s">
        <v>10</v>
      </c>
      <c r="F58" s="22" t="s">
        <v>4</v>
      </c>
      <c r="G58" s="13" t="s">
        <v>0</v>
      </c>
      <c r="H58" s="12" t="s">
        <v>218</v>
      </c>
      <c r="I58" s="11">
        <v>12567</v>
      </c>
      <c r="J58" s="10">
        <v>2000</v>
      </c>
      <c r="K58" s="9">
        <v>10567</v>
      </c>
      <c r="L58" s="8">
        <f t="shared" si="0"/>
        <v>0</v>
      </c>
    </row>
    <row r="59" spans="1:12" ht="150.75" customHeight="1" thickBot="1" x14ac:dyDescent="0.3">
      <c r="A59" s="50"/>
      <c r="B59" s="24" t="s">
        <v>7</v>
      </c>
      <c r="C59" s="12" t="s">
        <v>6</v>
      </c>
      <c r="D59" s="12" t="s">
        <v>1</v>
      </c>
      <c r="E59" s="13" t="s">
        <v>5</v>
      </c>
      <c r="F59" s="22" t="s">
        <v>4</v>
      </c>
      <c r="G59" s="13" t="s">
        <v>0</v>
      </c>
      <c r="H59" s="12" t="s">
        <v>218</v>
      </c>
      <c r="I59" s="11">
        <v>5000</v>
      </c>
      <c r="J59" s="10">
        <v>2000</v>
      </c>
      <c r="K59" s="9">
        <v>3000</v>
      </c>
      <c r="L59" s="8">
        <f t="shared" si="0"/>
        <v>0</v>
      </c>
    </row>
    <row r="60" spans="1:12" ht="150.75" customHeight="1" thickBot="1" x14ac:dyDescent="0.3">
      <c r="A60" s="50"/>
      <c r="B60" s="24" t="s">
        <v>194</v>
      </c>
      <c r="C60" s="12" t="s">
        <v>3</v>
      </c>
      <c r="D60" s="12" t="s">
        <v>1</v>
      </c>
      <c r="E60" s="13" t="s">
        <v>195</v>
      </c>
      <c r="F60" s="22" t="s">
        <v>122</v>
      </c>
      <c r="G60" s="13" t="s">
        <v>0</v>
      </c>
      <c r="H60" s="12" t="s">
        <v>218</v>
      </c>
      <c r="I60" s="11">
        <v>7000</v>
      </c>
      <c r="J60" s="10"/>
      <c r="K60" s="9">
        <v>7000</v>
      </c>
      <c r="L60" s="8">
        <f t="shared" si="0"/>
        <v>0</v>
      </c>
    </row>
    <row r="61" spans="1:12" ht="150.75" customHeight="1" thickBot="1" x14ac:dyDescent="0.3">
      <c r="A61" s="50"/>
      <c r="B61" s="24" t="s">
        <v>194</v>
      </c>
      <c r="C61" s="12" t="s">
        <v>118</v>
      </c>
      <c r="D61" s="12" t="s">
        <v>1</v>
      </c>
      <c r="E61" s="13" t="s">
        <v>216</v>
      </c>
      <c r="F61" s="22" t="s">
        <v>122</v>
      </c>
      <c r="G61" s="13" t="s">
        <v>0</v>
      </c>
      <c r="H61" s="12" t="s">
        <v>218</v>
      </c>
      <c r="I61" s="11">
        <v>5000</v>
      </c>
      <c r="J61" s="10"/>
      <c r="K61" s="9">
        <v>5000</v>
      </c>
      <c r="L61" s="8">
        <f t="shared" si="0"/>
        <v>0</v>
      </c>
    </row>
  </sheetData>
  <autoFilter ref="A2:L61"/>
  <dataConsolidate/>
  <mergeCells count="6">
    <mergeCell ref="A55:A61"/>
    <mergeCell ref="A1:L1"/>
    <mergeCell ref="A3:A18"/>
    <mergeCell ref="A19:A34"/>
    <mergeCell ref="A35:A39"/>
    <mergeCell ref="A40:A54"/>
  </mergeCells>
  <conditionalFormatting sqref="I2:I36 K3:L36">
    <cfRule type="cellIs" dxfId="143" priority="4" operator="lessThan">
      <formula>0</formula>
    </cfRule>
  </conditionalFormatting>
  <conditionalFormatting sqref="L2">
    <cfRule type="cellIs" dxfId="142" priority="3" operator="lessThan">
      <formula>0</formula>
    </cfRule>
  </conditionalFormatting>
  <conditionalFormatting sqref="I37:I45 K37:L45 L46:L61">
    <cfRule type="cellIs" dxfId="141" priority="2" operator="lessThan">
      <formula>0</formula>
    </cfRule>
  </conditionalFormatting>
  <conditionalFormatting sqref="I46:I61 K46:K61">
    <cfRule type="cellIs" dxfId="140" priority="1" operator="lessThan">
      <formula>0</formula>
    </cfRule>
  </conditionalFormatting>
  <printOptions horizontalCentered="1"/>
  <pageMargins left="0" right="0" top="0" bottom="0" header="0" footer="0"/>
  <pageSetup paperSize="9" scale="10" fitToHeight="0" orientation="portrait" cellComments="atEnd" r:id="rId1"/>
  <rowBreaks count="1" manualBreakCount="1">
    <brk id="54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9"/>
  <sheetViews>
    <sheetView showGridLines="0" view="pageBreakPreview" zoomScale="20" zoomScaleNormal="17" zoomScaleSheetLayoutView="20" workbookViewId="0">
      <selection activeCell="E3" sqref="E3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244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50" t="s">
        <v>41</v>
      </c>
      <c r="B3" s="13" t="s">
        <v>35</v>
      </c>
      <c r="C3" s="12" t="s">
        <v>34</v>
      </c>
      <c r="D3" s="12" t="s">
        <v>24</v>
      </c>
      <c r="E3" s="13" t="s">
        <v>33</v>
      </c>
      <c r="F3" s="22" t="s">
        <v>4</v>
      </c>
      <c r="G3" s="13" t="s">
        <v>0</v>
      </c>
      <c r="H3" s="12" t="s">
        <v>218</v>
      </c>
      <c r="I3" s="11">
        <v>1000</v>
      </c>
      <c r="J3" s="10"/>
      <c r="K3" s="9">
        <v>1000</v>
      </c>
      <c r="L3" s="8">
        <f t="shared" ref="L3:L19" si="0">K3+J3-I3</f>
        <v>0</v>
      </c>
    </row>
    <row r="4" spans="1:12" ht="150.75" customHeight="1" thickBot="1" x14ac:dyDescent="0.3">
      <c r="A4" s="50"/>
      <c r="B4" s="13" t="s">
        <v>66</v>
      </c>
      <c r="C4" s="12" t="s">
        <v>62</v>
      </c>
      <c r="D4" s="12" t="s">
        <v>24</v>
      </c>
      <c r="E4" s="13" t="s">
        <v>63</v>
      </c>
      <c r="F4" s="22" t="s">
        <v>4</v>
      </c>
      <c r="G4" s="13" t="s">
        <v>0</v>
      </c>
      <c r="H4" s="12" t="s">
        <v>218</v>
      </c>
      <c r="I4" s="11">
        <v>2600</v>
      </c>
      <c r="J4" s="10"/>
      <c r="K4" s="9">
        <f>+I4</f>
        <v>2600</v>
      </c>
      <c r="L4" s="8">
        <f t="shared" si="0"/>
        <v>0</v>
      </c>
    </row>
    <row r="5" spans="1:12" ht="150.75" customHeight="1" thickBot="1" x14ac:dyDescent="0.3">
      <c r="A5" s="50"/>
      <c r="B5" s="13" t="s">
        <v>38</v>
      </c>
      <c r="C5" s="12" t="s">
        <v>15</v>
      </c>
      <c r="D5" s="12" t="s">
        <v>24</v>
      </c>
      <c r="E5" s="13" t="s">
        <v>96</v>
      </c>
      <c r="F5" s="22" t="s">
        <v>4</v>
      </c>
      <c r="G5" s="13" t="s">
        <v>0</v>
      </c>
      <c r="H5" s="12" t="s">
        <v>218</v>
      </c>
      <c r="I5" s="11">
        <v>1968</v>
      </c>
      <c r="J5" s="10"/>
      <c r="K5" s="9">
        <f t="shared" ref="K5:K19" si="1">+I5</f>
        <v>1968</v>
      </c>
      <c r="L5" s="8">
        <f t="shared" si="0"/>
        <v>0</v>
      </c>
    </row>
    <row r="6" spans="1:12" ht="150.75" customHeight="1" thickBot="1" x14ac:dyDescent="0.3">
      <c r="A6" s="50"/>
      <c r="B6" s="13" t="s">
        <v>77</v>
      </c>
      <c r="C6" s="12" t="s">
        <v>27</v>
      </c>
      <c r="D6" s="12" t="s">
        <v>24</v>
      </c>
      <c r="E6" s="13" t="s">
        <v>76</v>
      </c>
      <c r="F6" s="22" t="s">
        <v>4</v>
      </c>
      <c r="G6" s="13" t="s">
        <v>0</v>
      </c>
      <c r="H6" s="12" t="s">
        <v>218</v>
      </c>
      <c r="I6" s="11">
        <v>2500</v>
      </c>
      <c r="J6" s="10"/>
      <c r="K6" s="9">
        <f t="shared" si="1"/>
        <v>2500</v>
      </c>
      <c r="L6" s="8">
        <f t="shared" si="0"/>
        <v>0</v>
      </c>
    </row>
    <row r="7" spans="1:12" ht="150.75" customHeight="1" thickBot="1" x14ac:dyDescent="0.3">
      <c r="A7" s="50"/>
      <c r="B7" s="13" t="s">
        <v>32</v>
      </c>
      <c r="C7" s="12" t="s">
        <v>31</v>
      </c>
      <c r="D7" s="12" t="s">
        <v>24</v>
      </c>
      <c r="E7" s="13" t="s">
        <v>116</v>
      </c>
      <c r="F7" s="22" t="s">
        <v>9</v>
      </c>
      <c r="G7" s="13" t="s">
        <v>0</v>
      </c>
      <c r="H7" s="12" t="s">
        <v>245</v>
      </c>
      <c r="I7" s="11">
        <v>3000</v>
      </c>
      <c r="J7" s="10"/>
      <c r="K7" s="9">
        <f t="shared" si="1"/>
        <v>3000</v>
      </c>
      <c r="L7" s="8">
        <f t="shared" ref="L7" si="2">K7+J7-I7</f>
        <v>0</v>
      </c>
    </row>
    <row r="8" spans="1:12" ht="150.75" customHeight="1" thickBot="1" x14ac:dyDescent="0.3">
      <c r="A8" s="50"/>
      <c r="B8" s="13" t="s">
        <v>112</v>
      </c>
      <c r="C8" s="12" t="s">
        <v>113</v>
      </c>
      <c r="D8" s="12" t="s">
        <v>24</v>
      </c>
      <c r="E8" s="13" t="s">
        <v>114</v>
      </c>
      <c r="F8" s="22" t="s">
        <v>4</v>
      </c>
      <c r="G8" s="13" t="s">
        <v>0</v>
      </c>
      <c r="H8" s="12" t="s">
        <v>218</v>
      </c>
      <c r="I8" s="11">
        <v>1000</v>
      </c>
      <c r="J8" s="10"/>
      <c r="K8" s="9">
        <f t="shared" si="1"/>
        <v>1000</v>
      </c>
      <c r="L8" s="8">
        <f t="shared" si="0"/>
        <v>0</v>
      </c>
    </row>
    <row r="9" spans="1:12" ht="150.75" customHeight="1" thickBot="1" x14ac:dyDescent="0.3">
      <c r="A9" s="50" t="s">
        <v>36</v>
      </c>
      <c r="B9" s="13" t="s">
        <v>66</v>
      </c>
      <c r="C9" s="12" t="s">
        <v>62</v>
      </c>
      <c r="D9" s="12" t="s">
        <v>24</v>
      </c>
      <c r="E9" s="13" t="s">
        <v>63</v>
      </c>
      <c r="F9" s="22" t="s">
        <v>4</v>
      </c>
      <c r="G9" s="13" t="s">
        <v>0</v>
      </c>
      <c r="H9" s="12" t="s">
        <v>218</v>
      </c>
      <c r="I9" s="11">
        <v>2000</v>
      </c>
      <c r="J9" s="10"/>
      <c r="K9" s="9">
        <f t="shared" si="1"/>
        <v>2000</v>
      </c>
      <c r="L9" s="8">
        <f t="shared" si="0"/>
        <v>0</v>
      </c>
    </row>
    <row r="10" spans="1:12" ht="150.75" customHeight="1" thickBot="1" x14ac:dyDescent="0.3">
      <c r="A10" s="50"/>
      <c r="B10" s="13" t="s">
        <v>61</v>
      </c>
      <c r="C10" s="12" t="s">
        <v>31</v>
      </c>
      <c r="D10" s="12" t="s">
        <v>24</v>
      </c>
      <c r="E10" s="13" t="s">
        <v>71</v>
      </c>
      <c r="F10" s="22" t="s">
        <v>4</v>
      </c>
      <c r="G10" s="13" t="s">
        <v>0</v>
      </c>
      <c r="H10" s="12" t="s">
        <v>218</v>
      </c>
      <c r="I10" s="11">
        <v>1000</v>
      </c>
      <c r="J10" s="10"/>
      <c r="K10" s="9">
        <f t="shared" si="1"/>
        <v>1000</v>
      </c>
      <c r="L10" s="8">
        <f t="shared" si="0"/>
        <v>0</v>
      </c>
    </row>
    <row r="11" spans="1:12" ht="150.75" customHeight="1" thickBot="1" x14ac:dyDescent="0.3">
      <c r="A11" s="50"/>
      <c r="B11" s="13" t="s">
        <v>32</v>
      </c>
      <c r="C11" s="12" t="s">
        <v>31</v>
      </c>
      <c r="D11" s="12" t="s">
        <v>24</v>
      </c>
      <c r="E11" s="13" t="s">
        <v>116</v>
      </c>
      <c r="F11" s="22" t="s">
        <v>9</v>
      </c>
      <c r="G11" s="13" t="s">
        <v>0</v>
      </c>
      <c r="H11" s="12" t="s">
        <v>245</v>
      </c>
      <c r="I11" s="11">
        <v>2000</v>
      </c>
      <c r="J11" s="10"/>
      <c r="K11" s="9">
        <f t="shared" si="1"/>
        <v>2000</v>
      </c>
      <c r="L11" s="8">
        <f t="shared" si="0"/>
        <v>0</v>
      </c>
    </row>
    <row r="12" spans="1:12" ht="150.75" customHeight="1" thickBot="1" x14ac:dyDescent="0.3">
      <c r="A12" s="50"/>
      <c r="B12" s="13" t="s">
        <v>32</v>
      </c>
      <c r="C12" s="12" t="s">
        <v>31</v>
      </c>
      <c r="D12" s="12" t="s">
        <v>24</v>
      </c>
      <c r="E12" s="13" t="s">
        <v>116</v>
      </c>
      <c r="F12" s="22" t="s">
        <v>9</v>
      </c>
      <c r="G12" s="13" t="s">
        <v>0</v>
      </c>
      <c r="H12" s="12" t="s">
        <v>218</v>
      </c>
      <c r="I12" s="11">
        <v>1000</v>
      </c>
      <c r="J12" s="10"/>
      <c r="K12" s="9">
        <f t="shared" si="1"/>
        <v>1000</v>
      </c>
      <c r="L12" s="8">
        <f t="shared" si="0"/>
        <v>0</v>
      </c>
    </row>
    <row r="13" spans="1:12" ht="150.75" customHeight="1" thickBot="1" x14ac:dyDescent="0.3">
      <c r="A13" s="50"/>
      <c r="B13" s="24" t="s">
        <v>40</v>
      </c>
      <c r="C13" s="12" t="s">
        <v>27</v>
      </c>
      <c r="D13" s="12" t="s">
        <v>24</v>
      </c>
      <c r="E13" s="13" t="s">
        <v>76</v>
      </c>
      <c r="F13" s="22" t="s">
        <v>4</v>
      </c>
      <c r="G13" s="13" t="s">
        <v>0</v>
      </c>
      <c r="H13" s="12" t="s">
        <v>218</v>
      </c>
      <c r="I13" s="11">
        <v>2000</v>
      </c>
      <c r="J13" s="10"/>
      <c r="K13" s="9">
        <f t="shared" si="1"/>
        <v>2000</v>
      </c>
      <c r="L13" s="8">
        <f t="shared" si="0"/>
        <v>0</v>
      </c>
    </row>
    <row r="14" spans="1:12" ht="150.75" customHeight="1" thickBot="1" x14ac:dyDescent="0.3">
      <c r="A14" s="50"/>
      <c r="B14" s="24" t="s">
        <v>40</v>
      </c>
      <c r="C14" s="12" t="s">
        <v>15</v>
      </c>
      <c r="D14" s="12" t="s">
        <v>24</v>
      </c>
      <c r="E14" s="13" t="s">
        <v>96</v>
      </c>
      <c r="F14" s="22" t="s">
        <v>4</v>
      </c>
      <c r="G14" s="13" t="s">
        <v>0</v>
      </c>
      <c r="H14" s="12" t="s">
        <v>218</v>
      </c>
      <c r="I14" s="11">
        <v>2000</v>
      </c>
      <c r="J14" s="10"/>
      <c r="K14" s="9">
        <f t="shared" si="1"/>
        <v>2000</v>
      </c>
      <c r="L14" s="8">
        <f t="shared" si="0"/>
        <v>0</v>
      </c>
    </row>
    <row r="15" spans="1:12" ht="150.75" customHeight="1" thickBot="1" x14ac:dyDescent="0.3">
      <c r="A15" s="46" t="s">
        <v>19</v>
      </c>
      <c r="B15" s="24" t="s">
        <v>7</v>
      </c>
      <c r="C15" s="12" t="s">
        <v>6</v>
      </c>
      <c r="D15" s="12" t="s">
        <v>1</v>
      </c>
      <c r="E15" s="13" t="s">
        <v>5</v>
      </c>
      <c r="F15" s="22" t="s">
        <v>9</v>
      </c>
      <c r="G15" s="13" t="s">
        <v>0</v>
      </c>
      <c r="H15" s="12" t="s">
        <v>245</v>
      </c>
      <c r="I15" s="11">
        <v>3000</v>
      </c>
      <c r="J15" s="10"/>
      <c r="K15" s="9">
        <f t="shared" si="1"/>
        <v>3000</v>
      </c>
      <c r="L15" s="8">
        <f t="shared" ref="L15:L16" si="3">K15+J15-I15</f>
        <v>0</v>
      </c>
    </row>
    <row r="16" spans="1:12" ht="150.75" customHeight="1" thickBot="1" x14ac:dyDescent="0.3">
      <c r="A16" s="47"/>
      <c r="B16" s="24" t="s">
        <v>194</v>
      </c>
      <c r="C16" s="12" t="s">
        <v>3</v>
      </c>
      <c r="D16" s="12" t="s">
        <v>1</v>
      </c>
      <c r="E16" s="13" t="s">
        <v>195</v>
      </c>
      <c r="F16" s="22" t="s">
        <v>122</v>
      </c>
      <c r="G16" s="13" t="s">
        <v>0</v>
      </c>
      <c r="H16" s="12" t="s">
        <v>218</v>
      </c>
      <c r="I16" s="11">
        <v>5000</v>
      </c>
      <c r="J16" s="10"/>
      <c r="K16" s="9">
        <f t="shared" si="1"/>
        <v>5000</v>
      </c>
      <c r="L16" s="8">
        <f t="shared" si="3"/>
        <v>0</v>
      </c>
    </row>
    <row r="17" spans="1:12" ht="150.75" customHeight="1" thickBot="1" x14ac:dyDescent="0.3">
      <c r="A17" s="47"/>
      <c r="B17" s="24" t="s">
        <v>7</v>
      </c>
      <c r="C17" s="12" t="s">
        <v>15</v>
      </c>
      <c r="D17" s="12" t="s">
        <v>14</v>
      </c>
      <c r="E17" s="13" t="s">
        <v>65</v>
      </c>
      <c r="F17" s="22" t="s">
        <v>4</v>
      </c>
      <c r="G17" s="13" t="s">
        <v>0</v>
      </c>
      <c r="H17" s="12" t="s">
        <v>245</v>
      </c>
      <c r="I17" s="11">
        <v>50</v>
      </c>
      <c r="J17" s="10"/>
      <c r="K17" s="9">
        <f t="shared" si="1"/>
        <v>50</v>
      </c>
      <c r="L17" s="8">
        <f t="shared" si="0"/>
        <v>0</v>
      </c>
    </row>
    <row r="18" spans="1:12" ht="150.75" customHeight="1" thickBot="1" x14ac:dyDescent="0.3">
      <c r="A18" s="47"/>
      <c r="B18" s="24" t="s">
        <v>7</v>
      </c>
      <c r="C18" s="12" t="s">
        <v>15</v>
      </c>
      <c r="D18" s="12" t="s">
        <v>14</v>
      </c>
      <c r="E18" s="13" t="s">
        <v>13</v>
      </c>
      <c r="F18" s="22" t="s">
        <v>4</v>
      </c>
      <c r="G18" s="13" t="s">
        <v>0</v>
      </c>
      <c r="H18" s="12" t="s">
        <v>245</v>
      </c>
      <c r="I18" s="11">
        <v>50</v>
      </c>
      <c r="J18" s="10"/>
      <c r="K18" s="9">
        <f t="shared" si="1"/>
        <v>50</v>
      </c>
      <c r="L18" s="8">
        <f t="shared" ref="L18" si="4">K18+J18-I18</f>
        <v>0</v>
      </c>
    </row>
    <row r="19" spans="1:12" ht="150.75" customHeight="1" thickBot="1" x14ac:dyDescent="0.3">
      <c r="A19" s="48"/>
      <c r="B19" s="24" t="s">
        <v>7</v>
      </c>
      <c r="C19" s="12" t="s">
        <v>15</v>
      </c>
      <c r="D19" s="12" t="s">
        <v>14</v>
      </c>
      <c r="E19" s="13" t="s">
        <v>58</v>
      </c>
      <c r="F19" s="22" t="s">
        <v>4</v>
      </c>
      <c r="G19" s="13" t="s">
        <v>0</v>
      </c>
      <c r="H19" s="12" t="s">
        <v>245</v>
      </c>
      <c r="I19" s="11">
        <v>50</v>
      </c>
      <c r="J19" s="10"/>
      <c r="K19" s="9">
        <f t="shared" si="1"/>
        <v>50</v>
      </c>
      <c r="L19" s="8">
        <f t="shared" si="0"/>
        <v>0</v>
      </c>
    </row>
  </sheetData>
  <autoFilter ref="A2:L19"/>
  <dataConsolidate/>
  <mergeCells count="4">
    <mergeCell ref="A15:A19"/>
    <mergeCell ref="A1:L1"/>
    <mergeCell ref="A3:A8"/>
    <mergeCell ref="A9:A14"/>
  </mergeCells>
  <conditionalFormatting sqref="I2:I6 K3:L4 L8:L14 I8:I14 I17 L17 L19 I19 L5:L6 K5:K19">
    <cfRule type="cellIs" dxfId="139" priority="7" operator="lessThan">
      <formula>0</formula>
    </cfRule>
  </conditionalFormatting>
  <conditionalFormatting sqref="L2">
    <cfRule type="cellIs" dxfId="138" priority="6" operator="lessThan">
      <formula>0</formula>
    </cfRule>
  </conditionalFormatting>
  <conditionalFormatting sqref="L7 I7">
    <cfRule type="cellIs" dxfId="137" priority="3" operator="lessThan">
      <formula>0</formula>
    </cfRule>
  </conditionalFormatting>
  <conditionalFormatting sqref="I15:I16 L15:L16">
    <cfRule type="cellIs" dxfId="136" priority="2" operator="lessThan">
      <formula>0</formula>
    </cfRule>
  </conditionalFormatting>
  <conditionalFormatting sqref="L18 I18">
    <cfRule type="cellIs" dxfId="135" priority="1" operator="lessThan">
      <formula>0</formula>
    </cfRule>
  </conditionalFormatting>
  <printOptions horizontalCentered="1"/>
  <pageMargins left="0" right="0" top="0" bottom="0" header="0" footer="0"/>
  <pageSetup paperSize="9" scale="10" fitToHeight="0" orientation="portrait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5"/>
  <sheetViews>
    <sheetView showGridLines="0" view="pageBreakPreview" topLeftCell="A7" zoomScale="20" zoomScaleNormal="17" zoomScaleSheetLayoutView="20" workbookViewId="0">
      <selection activeCell="B12" sqref="B12:H12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271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50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245</v>
      </c>
      <c r="I3" s="11">
        <v>2000</v>
      </c>
      <c r="J3" s="10"/>
      <c r="K3" s="9">
        <v>2000</v>
      </c>
      <c r="L3" s="8">
        <f t="shared" ref="L3:L35" si="0">K3+J3-I3</f>
        <v>0</v>
      </c>
    </row>
    <row r="4" spans="1:12" ht="150.75" customHeight="1" thickBot="1" x14ac:dyDescent="0.3">
      <c r="A4" s="50"/>
      <c r="B4" s="13" t="s">
        <v>136</v>
      </c>
      <c r="C4" s="12" t="s">
        <v>235</v>
      </c>
      <c r="D4" s="12" t="s">
        <v>126</v>
      </c>
      <c r="E4" s="13" t="s">
        <v>236</v>
      </c>
      <c r="F4" s="22" t="s">
        <v>122</v>
      </c>
      <c r="G4" s="13" t="s">
        <v>0</v>
      </c>
      <c r="H4" s="12" t="s">
        <v>245</v>
      </c>
      <c r="I4" s="11">
        <v>5000</v>
      </c>
      <c r="J4" s="10"/>
      <c r="K4" s="9">
        <v>5000</v>
      </c>
      <c r="L4" s="8">
        <f t="shared" si="0"/>
        <v>0</v>
      </c>
    </row>
    <row r="5" spans="1:12" ht="150.75" customHeight="1" thickBot="1" x14ac:dyDescent="0.3">
      <c r="A5" s="50"/>
      <c r="B5" s="13" t="s">
        <v>157</v>
      </c>
      <c r="C5" s="12" t="s">
        <v>26</v>
      </c>
      <c r="D5" s="12" t="s">
        <v>24</v>
      </c>
      <c r="E5" s="13" t="s">
        <v>59</v>
      </c>
      <c r="F5" s="22" t="s">
        <v>4</v>
      </c>
      <c r="G5" s="13" t="s">
        <v>0</v>
      </c>
      <c r="H5" s="12" t="s">
        <v>218</v>
      </c>
      <c r="I5" s="11">
        <v>1720</v>
      </c>
      <c r="J5" s="10"/>
      <c r="K5" s="9">
        <v>1720</v>
      </c>
      <c r="L5" s="8">
        <f t="shared" si="0"/>
        <v>0</v>
      </c>
    </row>
    <row r="6" spans="1:12" ht="150.75" customHeight="1" thickBot="1" x14ac:dyDescent="0.3">
      <c r="A6" s="50"/>
      <c r="B6" s="13" t="s">
        <v>35</v>
      </c>
      <c r="C6" s="12" t="s">
        <v>34</v>
      </c>
      <c r="D6" s="12" t="s">
        <v>24</v>
      </c>
      <c r="E6" s="13" t="s">
        <v>33</v>
      </c>
      <c r="F6" s="22" t="s">
        <v>4</v>
      </c>
      <c r="G6" s="13" t="s">
        <v>0</v>
      </c>
      <c r="H6" s="12" t="s">
        <v>218</v>
      </c>
      <c r="I6" s="11">
        <v>630</v>
      </c>
      <c r="J6" s="10"/>
      <c r="K6" s="9">
        <v>630</v>
      </c>
      <c r="L6" s="8">
        <f t="shared" si="0"/>
        <v>0</v>
      </c>
    </row>
    <row r="7" spans="1:12" ht="150.75" customHeight="1" thickBot="1" x14ac:dyDescent="0.3">
      <c r="A7" s="50"/>
      <c r="B7" s="13" t="s">
        <v>66</v>
      </c>
      <c r="C7" s="12" t="s">
        <v>62</v>
      </c>
      <c r="D7" s="12" t="s">
        <v>24</v>
      </c>
      <c r="E7" s="13" t="s">
        <v>272</v>
      </c>
      <c r="F7" s="22" t="s">
        <v>4</v>
      </c>
      <c r="G7" s="13" t="s">
        <v>8</v>
      </c>
      <c r="H7" s="12" t="s">
        <v>218</v>
      </c>
      <c r="I7" s="11">
        <v>5</v>
      </c>
      <c r="J7" s="10"/>
      <c r="K7" s="9">
        <v>5</v>
      </c>
      <c r="L7" s="8">
        <f t="shared" si="0"/>
        <v>0</v>
      </c>
    </row>
    <row r="8" spans="1:12" ht="150.75" customHeight="1" thickBot="1" x14ac:dyDescent="0.3">
      <c r="A8" s="50"/>
      <c r="B8" s="13" t="s">
        <v>66</v>
      </c>
      <c r="C8" s="12" t="s">
        <v>62</v>
      </c>
      <c r="D8" s="12" t="s">
        <v>24</v>
      </c>
      <c r="E8" s="13" t="s">
        <v>272</v>
      </c>
      <c r="F8" s="22" t="s">
        <v>4</v>
      </c>
      <c r="G8" s="13" t="s">
        <v>0</v>
      </c>
      <c r="H8" s="12" t="s">
        <v>218</v>
      </c>
      <c r="I8" s="11">
        <v>1490</v>
      </c>
      <c r="J8" s="10"/>
      <c r="K8" s="9">
        <v>1490</v>
      </c>
      <c r="L8" s="8">
        <f t="shared" si="0"/>
        <v>0</v>
      </c>
    </row>
    <row r="9" spans="1:12" ht="150.75" customHeight="1" thickBot="1" x14ac:dyDescent="0.3">
      <c r="A9" s="50"/>
      <c r="B9" s="13" t="s">
        <v>77</v>
      </c>
      <c r="C9" s="12" t="s">
        <v>27</v>
      </c>
      <c r="D9" s="12" t="s">
        <v>24</v>
      </c>
      <c r="E9" s="13" t="s">
        <v>55</v>
      </c>
      <c r="F9" s="22" t="s">
        <v>9</v>
      </c>
      <c r="G9" s="13" t="s">
        <v>0</v>
      </c>
      <c r="H9" s="12" t="s">
        <v>218</v>
      </c>
      <c r="I9" s="11">
        <v>2000</v>
      </c>
      <c r="J9" s="10"/>
      <c r="K9" s="9">
        <v>2000</v>
      </c>
      <c r="L9" s="8">
        <f t="shared" si="0"/>
        <v>0</v>
      </c>
    </row>
    <row r="10" spans="1:12" ht="150.75" customHeight="1" thickBot="1" x14ac:dyDescent="0.3">
      <c r="A10" s="50"/>
      <c r="B10" s="13" t="s">
        <v>77</v>
      </c>
      <c r="C10" s="12" t="s">
        <v>27</v>
      </c>
      <c r="D10" s="12" t="s">
        <v>24</v>
      </c>
      <c r="E10" s="13" t="s">
        <v>76</v>
      </c>
      <c r="F10" s="22" t="s">
        <v>4</v>
      </c>
      <c r="G10" s="13" t="s">
        <v>0</v>
      </c>
      <c r="H10" s="12" t="s">
        <v>218</v>
      </c>
      <c r="I10" s="11">
        <v>1500</v>
      </c>
      <c r="J10" s="10"/>
      <c r="K10" s="9">
        <v>1500</v>
      </c>
      <c r="L10" s="8">
        <f t="shared" si="0"/>
        <v>0</v>
      </c>
    </row>
    <row r="11" spans="1:12" ht="150.75" customHeight="1" thickBot="1" x14ac:dyDescent="0.3">
      <c r="A11" s="50"/>
      <c r="B11" s="13" t="s">
        <v>77</v>
      </c>
      <c r="C11" s="12" t="s">
        <v>27</v>
      </c>
      <c r="D11" s="12" t="s">
        <v>24</v>
      </c>
      <c r="E11" s="13" t="s">
        <v>39</v>
      </c>
      <c r="F11" s="22" t="s">
        <v>4</v>
      </c>
      <c r="G11" s="13" t="s">
        <v>0</v>
      </c>
      <c r="H11" s="12" t="s">
        <v>218</v>
      </c>
      <c r="I11" s="11">
        <v>2150</v>
      </c>
      <c r="J11" s="10"/>
      <c r="K11" s="9">
        <f>1000+1150</f>
        <v>2150</v>
      </c>
      <c r="L11" s="8">
        <f t="shared" si="0"/>
        <v>0</v>
      </c>
    </row>
    <row r="12" spans="1:12" ht="150.75" customHeight="1" thickBot="1" x14ac:dyDescent="0.3">
      <c r="A12" s="50"/>
      <c r="B12" s="13" t="s">
        <v>112</v>
      </c>
      <c r="C12" s="12" t="s">
        <v>113</v>
      </c>
      <c r="D12" s="12" t="s">
        <v>24</v>
      </c>
      <c r="E12" s="13" t="s">
        <v>241</v>
      </c>
      <c r="F12" s="22" t="s">
        <v>4</v>
      </c>
      <c r="G12" s="13" t="s">
        <v>0</v>
      </c>
      <c r="H12" s="12" t="s">
        <v>218</v>
      </c>
      <c r="I12" s="11">
        <v>408</v>
      </c>
      <c r="J12" s="10"/>
      <c r="K12" s="9">
        <v>408</v>
      </c>
      <c r="L12" s="8">
        <f t="shared" si="0"/>
        <v>0</v>
      </c>
    </row>
    <row r="13" spans="1:12" ht="150.75" customHeight="1" thickBot="1" x14ac:dyDescent="0.3">
      <c r="A13" s="50"/>
      <c r="B13" s="13" t="s">
        <v>112</v>
      </c>
      <c r="C13" s="12" t="s">
        <v>113</v>
      </c>
      <c r="D13" s="12" t="s">
        <v>24</v>
      </c>
      <c r="E13" s="13" t="s">
        <v>114</v>
      </c>
      <c r="F13" s="22" t="s">
        <v>4</v>
      </c>
      <c r="G13" s="13" t="s">
        <v>0</v>
      </c>
      <c r="H13" s="12" t="s">
        <v>218</v>
      </c>
      <c r="I13" s="11">
        <v>779</v>
      </c>
      <c r="J13" s="10"/>
      <c r="K13" s="9">
        <v>779</v>
      </c>
      <c r="L13" s="8">
        <f t="shared" si="0"/>
        <v>0</v>
      </c>
    </row>
    <row r="14" spans="1:12" ht="150.75" customHeight="1" thickBot="1" x14ac:dyDescent="0.3">
      <c r="A14" s="50"/>
      <c r="B14" s="13" t="s">
        <v>112</v>
      </c>
      <c r="C14" s="12" t="s">
        <v>113</v>
      </c>
      <c r="D14" s="12" t="s">
        <v>24</v>
      </c>
      <c r="E14" s="13" t="s">
        <v>242</v>
      </c>
      <c r="F14" s="22" t="s">
        <v>4</v>
      </c>
      <c r="G14" s="13" t="s">
        <v>0</v>
      </c>
      <c r="H14" s="12" t="s">
        <v>218</v>
      </c>
      <c r="I14" s="11">
        <v>1400</v>
      </c>
      <c r="J14" s="10"/>
      <c r="K14" s="9">
        <v>1400</v>
      </c>
      <c r="L14" s="8">
        <f t="shared" si="0"/>
        <v>0</v>
      </c>
    </row>
    <row r="15" spans="1:12" ht="150.75" customHeight="1" thickBot="1" x14ac:dyDescent="0.3">
      <c r="A15" s="50"/>
      <c r="B15" s="13" t="s">
        <v>112</v>
      </c>
      <c r="C15" s="12" t="s">
        <v>113</v>
      </c>
      <c r="D15" s="12" t="s">
        <v>24</v>
      </c>
      <c r="E15" s="13" t="s">
        <v>273</v>
      </c>
      <c r="F15" s="22" t="s">
        <v>4</v>
      </c>
      <c r="G15" s="13" t="s">
        <v>0</v>
      </c>
      <c r="H15" s="12" t="s">
        <v>218</v>
      </c>
      <c r="I15" s="11">
        <v>837</v>
      </c>
      <c r="J15" s="10"/>
      <c r="K15" s="9">
        <v>837</v>
      </c>
      <c r="L15" s="8">
        <f t="shared" si="0"/>
        <v>0</v>
      </c>
    </row>
    <row r="16" spans="1:12" ht="150.75" customHeight="1" thickBot="1" x14ac:dyDescent="0.3">
      <c r="A16" s="50" t="s">
        <v>274</v>
      </c>
      <c r="B16" s="13" t="s">
        <v>66</v>
      </c>
      <c r="C16" s="12" t="s">
        <v>62</v>
      </c>
      <c r="D16" s="12" t="s">
        <v>24</v>
      </c>
      <c r="E16" s="13" t="s">
        <v>272</v>
      </c>
      <c r="F16" s="22" t="s">
        <v>4</v>
      </c>
      <c r="G16" s="13" t="s">
        <v>8</v>
      </c>
      <c r="H16" s="12" t="s">
        <v>218</v>
      </c>
      <c r="I16" s="11">
        <v>5</v>
      </c>
      <c r="J16" s="10"/>
      <c r="K16" s="9">
        <v>5</v>
      </c>
      <c r="L16" s="8">
        <f t="shared" si="0"/>
        <v>0</v>
      </c>
    </row>
    <row r="17" spans="1:12" ht="150.75" customHeight="1" thickBot="1" x14ac:dyDescent="0.3">
      <c r="A17" s="50"/>
      <c r="B17" s="13" t="s">
        <v>66</v>
      </c>
      <c r="C17" s="12" t="s">
        <v>62</v>
      </c>
      <c r="D17" s="12" t="s">
        <v>24</v>
      </c>
      <c r="E17" s="13" t="s">
        <v>272</v>
      </c>
      <c r="F17" s="22" t="s">
        <v>4</v>
      </c>
      <c r="G17" s="13" t="s">
        <v>0</v>
      </c>
      <c r="H17" s="12" t="s">
        <v>218</v>
      </c>
      <c r="I17" s="11">
        <v>1490</v>
      </c>
      <c r="J17" s="10"/>
      <c r="K17" s="9">
        <v>1490</v>
      </c>
      <c r="L17" s="8">
        <f t="shared" si="0"/>
        <v>0</v>
      </c>
    </row>
    <row r="18" spans="1:12" ht="150.75" customHeight="1" thickBot="1" x14ac:dyDescent="0.3">
      <c r="A18" s="50"/>
      <c r="B18" s="13" t="s">
        <v>61</v>
      </c>
      <c r="C18" s="12" t="s">
        <v>31</v>
      </c>
      <c r="D18" s="12" t="s">
        <v>24</v>
      </c>
      <c r="E18" s="13" t="s">
        <v>78</v>
      </c>
      <c r="F18" s="22" t="s">
        <v>4</v>
      </c>
      <c r="G18" s="13" t="s">
        <v>0</v>
      </c>
      <c r="H18" s="12" t="s">
        <v>218</v>
      </c>
      <c r="I18" s="11">
        <v>1000</v>
      </c>
      <c r="J18" s="10"/>
      <c r="K18" s="9">
        <v>1000</v>
      </c>
      <c r="L18" s="8">
        <f t="shared" si="0"/>
        <v>0</v>
      </c>
    </row>
    <row r="19" spans="1:12" ht="150.75" customHeight="1" thickBot="1" x14ac:dyDescent="0.3">
      <c r="A19" s="50"/>
      <c r="B19" s="13" t="s">
        <v>61</v>
      </c>
      <c r="C19" s="12" t="s">
        <v>31</v>
      </c>
      <c r="D19" s="12" t="s">
        <v>24</v>
      </c>
      <c r="E19" s="13" t="s">
        <v>71</v>
      </c>
      <c r="F19" s="22" t="s">
        <v>4</v>
      </c>
      <c r="G19" s="13" t="s">
        <v>0</v>
      </c>
      <c r="H19" s="12" t="s">
        <v>218</v>
      </c>
      <c r="I19" s="11">
        <v>1000</v>
      </c>
      <c r="J19" s="10"/>
      <c r="K19" s="9">
        <v>1000</v>
      </c>
      <c r="L19" s="8">
        <f t="shared" si="0"/>
        <v>0</v>
      </c>
    </row>
    <row r="20" spans="1:12" ht="150.75" customHeight="1" thickBot="1" x14ac:dyDescent="0.3">
      <c r="A20" s="50"/>
      <c r="B20" s="24" t="s">
        <v>32</v>
      </c>
      <c r="C20" s="12" t="s">
        <v>31</v>
      </c>
      <c r="D20" s="12" t="s">
        <v>24</v>
      </c>
      <c r="E20" s="13" t="s">
        <v>116</v>
      </c>
      <c r="F20" s="22" t="s">
        <v>9</v>
      </c>
      <c r="G20" s="13" t="s">
        <v>0</v>
      </c>
      <c r="H20" s="12" t="s">
        <v>245</v>
      </c>
      <c r="I20" s="11">
        <v>1000</v>
      </c>
      <c r="J20" s="10"/>
      <c r="K20" s="9">
        <v>1000</v>
      </c>
      <c r="L20" s="8">
        <f t="shared" si="0"/>
        <v>0</v>
      </c>
    </row>
    <row r="21" spans="1:12" ht="150.75" customHeight="1" thickBot="1" x14ac:dyDescent="0.3">
      <c r="A21" s="50"/>
      <c r="B21" s="24" t="s">
        <v>40</v>
      </c>
      <c r="C21" s="12" t="s">
        <v>27</v>
      </c>
      <c r="D21" s="12" t="s">
        <v>24</v>
      </c>
      <c r="E21" s="13" t="s">
        <v>39</v>
      </c>
      <c r="F21" s="22" t="s">
        <v>4</v>
      </c>
      <c r="G21" s="13" t="s">
        <v>0</v>
      </c>
      <c r="H21" s="12" t="s">
        <v>218</v>
      </c>
      <c r="I21" s="11">
        <v>2150</v>
      </c>
      <c r="J21" s="10">
        <v>1000</v>
      </c>
      <c r="K21" s="9">
        <v>1150</v>
      </c>
      <c r="L21" s="8">
        <f t="shared" si="0"/>
        <v>0</v>
      </c>
    </row>
    <row r="22" spans="1:12" ht="150.75" customHeight="1" thickBot="1" x14ac:dyDescent="0.3">
      <c r="A22" s="50"/>
      <c r="B22" s="24" t="s">
        <v>40</v>
      </c>
      <c r="C22" s="12" t="s">
        <v>27</v>
      </c>
      <c r="D22" s="12" t="s">
        <v>24</v>
      </c>
      <c r="E22" s="13" t="s">
        <v>76</v>
      </c>
      <c r="F22" s="22" t="s">
        <v>4</v>
      </c>
      <c r="G22" s="13" t="s">
        <v>0</v>
      </c>
      <c r="H22" s="12" t="s">
        <v>218</v>
      </c>
      <c r="I22" s="11">
        <v>1000</v>
      </c>
      <c r="J22" s="10">
        <v>1000</v>
      </c>
      <c r="K22" s="9"/>
      <c r="L22" s="8">
        <f t="shared" si="0"/>
        <v>0</v>
      </c>
    </row>
    <row r="23" spans="1:12" ht="150.75" customHeight="1" thickBot="1" x14ac:dyDescent="0.3">
      <c r="A23" s="50"/>
      <c r="B23" s="24" t="s">
        <v>38</v>
      </c>
      <c r="C23" s="12" t="s">
        <v>15</v>
      </c>
      <c r="D23" s="12" t="s">
        <v>24</v>
      </c>
      <c r="E23" s="13" t="s">
        <v>96</v>
      </c>
      <c r="F23" s="22" t="s">
        <v>4</v>
      </c>
      <c r="G23" s="13" t="s">
        <v>0</v>
      </c>
      <c r="H23" s="12" t="s">
        <v>218</v>
      </c>
      <c r="I23" s="11">
        <v>1000</v>
      </c>
      <c r="J23" s="10"/>
      <c r="K23" s="9">
        <v>1000</v>
      </c>
      <c r="L23" s="8">
        <f t="shared" si="0"/>
        <v>0</v>
      </c>
    </row>
    <row r="24" spans="1:12" ht="150.75" customHeight="1" thickBot="1" x14ac:dyDescent="0.3">
      <c r="A24" s="50"/>
      <c r="B24" s="24" t="s">
        <v>77</v>
      </c>
      <c r="C24" s="12" t="s">
        <v>27</v>
      </c>
      <c r="D24" s="12" t="s">
        <v>24</v>
      </c>
      <c r="E24" s="13" t="s">
        <v>76</v>
      </c>
      <c r="F24" s="22" t="s">
        <v>4</v>
      </c>
      <c r="G24" s="13" t="s">
        <v>0</v>
      </c>
      <c r="H24" s="12" t="s">
        <v>218</v>
      </c>
      <c r="I24" s="11">
        <v>3500</v>
      </c>
      <c r="J24" s="10"/>
      <c r="K24" s="9">
        <f>1500+2000</f>
        <v>3500</v>
      </c>
      <c r="L24" s="8">
        <f t="shared" si="0"/>
        <v>0</v>
      </c>
    </row>
    <row r="25" spans="1:12" ht="150.75" customHeight="1" thickBot="1" x14ac:dyDescent="0.3">
      <c r="A25" s="50"/>
      <c r="B25" s="24" t="s">
        <v>157</v>
      </c>
      <c r="C25" s="12" t="s">
        <v>26</v>
      </c>
      <c r="D25" s="12" t="s">
        <v>24</v>
      </c>
      <c r="E25" s="13" t="s">
        <v>59</v>
      </c>
      <c r="F25" s="22" t="s">
        <v>4</v>
      </c>
      <c r="G25" s="13" t="s">
        <v>0</v>
      </c>
      <c r="H25" s="12" t="s">
        <v>218</v>
      </c>
      <c r="I25" s="11">
        <v>2000</v>
      </c>
      <c r="J25" s="10"/>
      <c r="K25" s="9">
        <v>2000</v>
      </c>
      <c r="L25" s="8">
        <f t="shared" si="0"/>
        <v>0</v>
      </c>
    </row>
    <row r="26" spans="1:12" ht="150.75" customHeight="1" thickBot="1" x14ac:dyDescent="0.3">
      <c r="A26" s="50"/>
      <c r="B26" s="24" t="s">
        <v>112</v>
      </c>
      <c r="C26" s="12" t="s">
        <v>113</v>
      </c>
      <c r="D26" s="12" t="s">
        <v>24</v>
      </c>
      <c r="E26" s="13" t="s">
        <v>114</v>
      </c>
      <c r="F26" s="22" t="s">
        <v>4</v>
      </c>
      <c r="G26" s="13" t="s">
        <v>0</v>
      </c>
      <c r="H26" s="12" t="s">
        <v>218</v>
      </c>
      <c r="I26" s="11">
        <v>1779</v>
      </c>
      <c r="J26" s="10"/>
      <c r="K26" s="9">
        <v>1779</v>
      </c>
      <c r="L26" s="8">
        <f t="shared" si="0"/>
        <v>0</v>
      </c>
    </row>
    <row r="27" spans="1:12" ht="150.75" customHeight="1" thickBot="1" x14ac:dyDescent="0.3">
      <c r="A27" s="50"/>
      <c r="B27" s="24" t="s">
        <v>112</v>
      </c>
      <c r="C27" s="12" t="s">
        <v>113</v>
      </c>
      <c r="D27" s="12" t="s">
        <v>24</v>
      </c>
      <c r="E27" s="13" t="s">
        <v>242</v>
      </c>
      <c r="F27" s="22" t="s">
        <v>4</v>
      </c>
      <c r="G27" s="13" t="s">
        <v>8</v>
      </c>
      <c r="H27" s="12" t="s">
        <v>218</v>
      </c>
      <c r="I27" s="11">
        <v>60</v>
      </c>
      <c r="J27" s="10"/>
      <c r="K27" s="9">
        <v>60</v>
      </c>
      <c r="L27" s="8">
        <f t="shared" si="0"/>
        <v>0</v>
      </c>
    </row>
    <row r="28" spans="1:12" ht="150.75" customHeight="1" thickBot="1" x14ac:dyDescent="0.3">
      <c r="A28" s="50"/>
      <c r="B28" s="24" t="s">
        <v>112</v>
      </c>
      <c r="C28" s="12" t="s">
        <v>113</v>
      </c>
      <c r="D28" s="12" t="s">
        <v>24</v>
      </c>
      <c r="E28" s="13" t="s">
        <v>242</v>
      </c>
      <c r="F28" s="22" t="s">
        <v>4</v>
      </c>
      <c r="G28" s="13" t="s">
        <v>0</v>
      </c>
      <c r="H28" s="12" t="s">
        <v>218</v>
      </c>
      <c r="I28" s="11">
        <v>1000</v>
      </c>
      <c r="J28" s="10">
        <v>1000</v>
      </c>
      <c r="K28" s="9"/>
      <c r="L28" s="8">
        <f t="shared" si="0"/>
        <v>0</v>
      </c>
    </row>
    <row r="29" spans="1:12" ht="150.75" customHeight="1" thickBot="1" x14ac:dyDescent="0.3">
      <c r="A29" s="50" t="s">
        <v>23</v>
      </c>
      <c r="B29" s="24" t="s">
        <v>12</v>
      </c>
      <c r="C29" s="12" t="s">
        <v>6</v>
      </c>
      <c r="D29" s="12" t="s">
        <v>20</v>
      </c>
      <c r="E29" s="13" t="s">
        <v>22</v>
      </c>
      <c r="F29" s="22" t="s">
        <v>4</v>
      </c>
      <c r="G29" s="13" t="s">
        <v>0</v>
      </c>
      <c r="H29" s="12" t="s">
        <v>218</v>
      </c>
      <c r="I29" s="11">
        <v>3000</v>
      </c>
      <c r="J29" s="10"/>
      <c r="K29" s="9">
        <v>3000</v>
      </c>
      <c r="L29" s="8">
        <f t="shared" si="0"/>
        <v>0</v>
      </c>
    </row>
    <row r="30" spans="1:12" ht="150.75" customHeight="1" thickBot="1" x14ac:dyDescent="0.3">
      <c r="A30" s="50"/>
      <c r="B30" s="24" t="s">
        <v>21</v>
      </c>
      <c r="C30" s="12" t="s">
        <v>118</v>
      </c>
      <c r="D30" s="12" t="s">
        <v>20</v>
      </c>
      <c r="E30" s="13" t="s">
        <v>119</v>
      </c>
      <c r="F30" s="22" t="s">
        <v>4</v>
      </c>
      <c r="G30" s="13" t="s">
        <v>0</v>
      </c>
      <c r="H30" s="12" t="s">
        <v>218</v>
      </c>
      <c r="I30" s="11">
        <v>1000</v>
      </c>
      <c r="J30" s="10"/>
      <c r="K30" s="9">
        <v>1000</v>
      </c>
      <c r="L30" s="8">
        <f t="shared" si="0"/>
        <v>0</v>
      </c>
    </row>
    <row r="31" spans="1:12" ht="150.75" customHeight="1" thickBot="1" x14ac:dyDescent="0.3">
      <c r="A31" s="50"/>
      <c r="B31" s="24" t="s">
        <v>21</v>
      </c>
      <c r="C31" s="12" t="s">
        <v>3</v>
      </c>
      <c r="D31" s="12" t="s">
        <v>20</v>
      </c>
      <c r="E31" s="13" t="s">
        <v>56</v>
      </c>
      <c r="F31" s="22" t="s">
        <v>9</v>
      </c>
      <c r="G31" s="13" t="s">
        <v>0</v>
      </c>
      <c r="H31" s="12" t="s">
        <v>218</v>
      </c>
      <c r="I31" s="11">
        <v>10000</v>
      </c>
      <c r="J31" s="10"/>
      <c r="K31" s="9">
        <v>10000</v>
      </c>
      <c r="L31" s="8">
        <f t="shared" si="0"/>
        <v>0</v>
      </c>
    </row>
    <row r="32" spans="1:12" ht="150.75" customHeight="1" thickBot="1" x14ac:dyDescent="0.3">
      <c r="A32" s="50"/>
      <c r="B32" s="24" t="s">
        <v>21</v>
      </c>
      <c r="C32" s="12" t="s">
        <v>3</v>
      </c>
      <c r="D32" s="12" t="s">
        <v>20</v>
      </c>
      <c r="E32" s="13" t="s">
        <v>57</v>
      </c>
      <c r="F32" s="22" t="s">
        <v>9</v>
      </c>
      <c r="G32" s="13" t="s">
        <v>0</v>
      </c>
      <c r="H32" s="12" t="s">
        <v>245</v>
      </c>
      <c r="I32" s="11">
        <v>980</v>
      </c>
      <c r="J32" s="10"/>
      <c r="K32" s="9">
        <v>980</v>
      </c>
      <c r="L32" s="8">
        <f t="shared" si="0"/>
        <v>0</v>
      </c>
    </row>
    <row r="33" spans="1:12" ht="150.75" customHeight="1" thickBot="1" x14ac:dyDescent="0.3">
      <c r="A33" s="50" t="s">
        <v>19</v>
      </c>
      <c r="B33" s="24" t="s">
        <v>18</v>
      </c>
      <c r="C33" s="12" t="s">
        <v>17</v>
      </c>
      <c r="D33" s="12" t="s">
        <v>14</v>
      </c>
      <c r="E33" s="13" t="s">
        <v>16</v>
      </c>
      <c r="F33" s="22" t="s">
        <v>4</v>
      </c>
      <c r="G33" s="13" t="s">
        <v>0</v>
      </c>
      <c r="H33" s="12" t="s">
        <v>218</v>
      </c>
      <c r="I33" s="11">
        <v>1330</v>
      </c>
      <c r="J33" s="10">
        <v>1000</v>
      </c>
      <c r="K33" s="9">
        <v>330</v>
      </c>
      <c r="L33" s="8">
        <f t="shared" si="0"/>
        <v>0</v>
      </c>
    </row>
    <row r="34" spans="1:12" ht="150.75" customHeight="1" thickBot="1" x14ac:dyDescent="0.3">
      <c r="A34" s="50"/>
      <c r="B34" s="24" t="s">
        <v>7</v>
      </c>
      <c r="C34" s="12" t="s">
        <v>6</v>
      </c>
      <c r="D34" s="12" t="s">
        <v>1</v>
      </c>
      <c r="E34" s="13" t="s">
        <v>5</v>
      </c>
      <c r="F34" s="22" t="s">
        <v>4</v>
      </c>
      <c r="G34" s="13" t="s">
        <v>0</v>
      </c>
      <c r="H34" s="12" t="s">
        <v>218</v>
      </c>
      <c r="I34" s="11">
        <v>2000</v>
      </c>
      <c r="J34" s="10"/>
      <c r="K34" s="9">
        <v>2000</v>
      </c>
      <c r="L34" s="8">
        <f t="shared" si="0"/>
        <v>0</v>
      </c>
    </row>
    <row r="35" spans="1:12" ht="150.75" customHeight="1" thickBot="1" x14ac:dyDescent="0.3">
      <c r="A35" s="50"/>
      <c r="B35" s="24" t="s">
        <v>194</v>
      </c>
      <c r="C35" s="12" t="s">
        <v>3</v>
      </c>
      <c r="D35" s="12" t="s">
        <v>1</v>
      </c>
      <c r="E35" s="13" t="s">
        <v>195</v>
      </c>
      <c r="F35" s="22" t="s">
        <v>122</v>
      </c>
      <c r="G35" s="13" t="s">
        <v>0</v>
      </c>
      <c r="H35" s="12" t="s">
        <v>218</v>
      </c>
      <c r="I35" s="11">
        <v>8000</v>
      </c>
      <c r="J35" s="10">
        <v>2000</v>
      </c>
      <c r="K35" s="9">
        <v>6000</v>
      </c>
      <c r="L35" s="8">
        <f t="shared" si="0"/>
        <v>0</v>
      </c>
    </row>
  </sheetData>
  <autoFilter ref="A2:L35"/>
  <dataConsolidate/>
  <mergeCells count="5">
    <mergeCell ref="A1:L1"/>
    <mergeCell ref="A3:A15"/>
    <mergeCell ref="A16:A28"/>
    <mergeCell ref="A29:A32"/>
    <mergeCell ref="A33:A35"/>
  </mergeCells>
  <conditionalFormatting sqref="I2:I35 K3:L35">
    <cfRule type="cellIs" dxfId="134" priority="4" operator="lessThan">
      <formula>0</formula>
    </cfRule>
  </conditionalFormatting>
  <conditionalFormatting sqref="L2">
    <cfRule type="cellIs" dxfId="133" priority="3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6"/>
  <sheetViews>
    <sheetView showGridLines="0" view="pageBreakPreview" zoomScale="20" zoomScaleNormal="27" zoomScaleSheetLayoutView="20" workbookViewId="0">
      <selection activeCell="K40" sqref="K39:K40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03.140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271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50" t="s">
        <v>36</v>
      </c>
      <c r="B3" s="13" t="s">
        <v>239</v>
      </c>
      <c r="C3" s="12" t="s">
        <v>163</v>
      </c>
      <c r="D3" s="12" t="s">
        <v>24</v>
      </c>
      <c r="E3" s="13" t="s">
        <v>275</v>
      </c>
      <c r="F3" s="22" t="s">
        <v>102</v>
      </c>
      <c r="G3" s="13" t="s">
        <v>37</v>
      </c>
      <c r="H3" s="12" t="s">
        <v>132</v>
      </c>
      <c r="I3" s="11">
        <v>998</v>
      </c>
      <c r="J3" s="10"/>
      <c r="K3" s="9">
        <v>998</v>
      </c>
      <c r="L3" s="8">
        <f t="shared" ref="L3:L6" si="0">K3+J3-I3</f>
        <v>0</v>
      </c>
    </row>
    <row r="4" spans="1:12" ht="150.75" customHeight="1" thickBot="1" x14ac:dyDescent="0.3">
      <c r="A4" s="50"/>
      <c r="B4" s="13" t="s">
        <v>77</v>
      </c>
      <c r="C4" s="12" t="s">
        <v>27</v>
      </c>
      <c r="D4" s="12" t="s">
        <v>24</v>
      </c>
      <c r="E4" s="13" t="s">
        <v>76</v>
      </c>
      <c r="F4" s="22" t="s">
        <v>4</v>
      </c>
      <c r="G4" s="13" t="s">
        <v>0</v>
      </c>
      <c r="H4" s="12" t="s">
        <v>218</v>
      </c>
      <c r="I4" s="11">
        <v>1500</v>
      </c>
      <c r="J4" s="10"/>
      <c r="K4" s="9">
        <v>1500</v>
      </c>
      <c r="L4" s="8">
        <f t="shared" si="0"/>
        <v>0</v>
      </c>
    </row>
    <row r="5" spans="1:12" ht="150.75" customHeight="1" thickBot="1" x14ac:dyDescent="0.3">
      <c r="A5" s="46" t="s">
        <v>23</v>
      </c>
      <c r="B5" s="33" t="s">
        <v>21</v>
      </c>
      <c r="C5" s="12" t="s">
        <v>3</v>
      </c>
      <c r="D5" s="12" t="s">
        <v>20</v>
      </c>
      <c r="E5" s="13" t="s">
        <v>56</v>
      </c>
      <c r="F5" s="22" t="s">
        <v>9</v>
      </c>
      <c r="G5" s="13" t="s">
        <v>0</v>
      </c>
      <c r="H5" s="12" t="s">
        <v>218</v>
      </c>
      <c r="I5" s="11">
        <v>10000</v>
      </c>
      <c r="J5" s="10"/>
      <c r="K5" s="9">
        <v>10000</v>
      </c>
      <c r="L5" s="8">
        <f t="shared" si="0"/>
        <v>0</v>
      </c>
    </row>
    <row r="6" spans="1:12" ht="150.75" customHeight="1" thickBot="1" x14ac:dyDescent="0.3">
      <c r="A6" s="47"/>
      <c r="B6" s="24" t="s">
        <v>21</v>
      </c>
      <c r="C6" s="12" t="s">
        <v>3</v>
      </c>
      <c r="D6" s="12" t="s">
        <v>20</v>
      </c>
      <c r="E6" s="13" t="s">
        <v>56</v>
      </c>
      <c r="F6" s="22" t="s">
        <v>9</v>
      </c>
      <c r="G6" s="13" t="s">
        <v>0</v>
      </c>
      <c r="H6" s="12" t="s">
        <v>245</v>
      </c>
      <c r="I6" s="11">
        <v>10000</v>
      </c>
      <c r="J6" s="10"/>
      <c r="K6" s="9">
        <v>10000</v>
      </c>
      <c r="L6" s="8">
        <f t="shared" si="0"/>
        <v>0</v>
      </c>
    </row>
  </sheetData>
  <autoFilter ref="A2:L6"/>
  <dataConsolidate/>
  <mergeCells count="3">
    <mergeCell ref="A1:L1"/>
    <mergeCell ref="A3:A4"/>
    <mergeCell ref="A5:A6"/>
  </mergeCells>
  <conditionalFormatting sqref="I2:I6 K3:L6">
    <cfRule type="cellIs" dxfId="132" priority="2" operator="lessThan">
      <formula>0</formula>
    </cfRule>
  </conditionalFormatting>
  <conditionalFormatting sqref="L2">
    <cfRule type="cellIs" dxfId="131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3"/>
  <sheetViews>
    <sheetView showGridLines="0" view="pageBreakPreview" topLeftCell="A23" zoomScale="20" zoomScaleNormal="27" zoomScaleSheetLayoutView="20" workbookViewId="0">
      <selection activeCell="F32" sqref="F32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10.28515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280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77</v>
      </c>
      <c r="C3" s="12" t="s">
        <v>27</v>
      </c>
      <c r="D3" s="12" t="s">
        <v>24</v>
      </c>
      <c r="E3" s="13" t="s">
        <v>55</v>
      </c>
      <c r="F3" s="22" t="s">
        <v>9</v>
      </c>
      <c r="G3" s="13" t="s">
        <v>0</v>
      </c>
      <c r="H3" s="12" t="s">
        <v>245</v>
      </c>
      <c r="I3" s="11">
        <v>2000</v>
      </c>
      <c r="J3" s="10"/>
      <c r="K3" s="9">
        <v>2000</v>
      </c>
      <c r="L3" s="8">
        <f t="shared" ref="L3:L33" si="0">K3+J3-I3</f>
        <v>0</v>
      </c>
    </row>
    <row r="4" spans="1:12" ht="150.75" customHeight="1" thickBot="1" x14ac:dyDescent="0.3">
      <c r="A4" s="47"/>
      <c r="B4" s="13" t="s">
        <v>157</v>
      </c>
      <c r="C4" s="12" t="s">
        <v>26</v>
      </c>
      <c r="D4" s="12" t="s">
        <v>24</v>
      </c>
      <c r="E4" s="13" t="s">
        <v>59</v>
      </c>
      <c r="F4" s="22" t="s">
        <v>4</v>
      </c>
      <c r="G4" s="13" t="s">
        <v>0</v>
      </c>
      <c r="H4" s="12" t="s">
        <v>245</v>
      </c>
      <c r="I4" s="11">
        <v>1000</v>
      </c>
      <c r="J4" s="10"/>
      <c r="K4" s="9">
        <v>1000</v>
      </c>
      <c r="L4" s="8">
        <f t="shared" si="0"/>
        <v>0</v>
      </c>
    </row>
    <row r="5" spans="1:12" ht="150.75" customHeight="1" thickBot="1" x14ac:dyDescent="0.3">
      <c r="A5" s="47"/>
      <c r="B5" s="13" t="s">
        <v>35</v>
      </c>
      <c r="C5" s="12" t="s">
        <v>34</v>
      </c>
      <c r="D5" s="12" t="s">
        <v>24</v>
      </c>
      <c r="E5" s="13" t="s">
        <v>33</v>
      </c>
      <c r="F5" s="22" t="s">
        <v>4</v>
      </c>
      <c r="G5" s="13" t="s">
        <v>0</v>
      </c>
      <c r="H5" s="12" t="s">
        <v>245</v>
      </c>
      <c r="I5" s="11">
        <v>1000</v>
      </c>
      <c r="J5" s="10"/>
      <c r="K5" s="9">
        <v>1000</v>
      </c>
      <c r="L5" s="8">
        <f t="shared" si="0"/>
        <v>0</v>
      </c>
    </row>
    <row r="6" spans="1:12" ht="150.75" customHeight="1" thickBot="1" x14ac:dyDescent="0.3">
      <c r="A6" s="47"/>
      <c r="B6" s="13" t="s">
        <v>77</v>
      </c>
      <c r="C6" s="12" t="s">
        <v>27</v>
      </c>
      <c r="D6" s="12" t="s">
        <v>24</v>
      </c>
      <c r="E6" s="13" t="s">
        <v>76</v>
      </c>
      <c r="F6" s="22" t="s">
        <v>4</v>
      </c>
      <c r="G6" s="13" t="s">
        <v>0</v>
      </c>
      <c r="H6" s="12" t="s">
        <v>245</v>
      </c>
      <c r="I6" s="11">
        <v>2000</v>
      </c>
      <c r="J6" s="10"/>
      <c r="K6" s="9">
        <v>2000</v>
      </c>
      <c r="L6" s="8">
        <f t="shared" si="0"/>
        <v>0</v>
      </c>
    </row>
    <row r="7" spans="1:12" ht="150.75" customHeight="1" thickBot="1" x14ac:dyDescent="0.3">
      <c r="A7" s="48"/>
      <c r="B7" s="13" t="s">
        <v>112</v>
      </c>
      <c r="C7" s="12" t="s">
        <v>113</v>
      </c>
      <c r="D7" s="12" t="s">
        <v>24</v>
      </c>
      <c r="E7" s="13" t="s">
        <v>283</v>
      </c>
      <c r="F7" s="22" t="s">
        <v>4</v>
      </c>
      <c r="G7" s="13" t="s">
        <v>0</v>
      </c>
      <c r="H7" s="12" t="s">
        <v>245</v>
      </c>
      <c r="I7" s="11">
        <v>1500</v>
      </c>
      <c r="J7" s="10"/>
      <c r="K7" s="9">
        <v>1500</v>
      </c>
      <c r="L7" s="8">
        <f t="shared" si="0"/>
        <v>0</v>
      </c>
    </row>
    <row r="8" spans="1:12" ht="150.75" customHeight="1" thickBot="1" x14ac:dyDescent="0.3">
      <c r="A8" s="50" t="s">
        <v>36</v>
      </c>
      <c r="B8" s="13" t="s">
        <v>239</v>
      </c>
      <c r="C8" s="12" t="s">
        <v>163</v>
      </c>
      <c r="D8" s="12" t="s">
        <v>24</v>
      </c>
      <c r="E8" s="13" t="s">
        <v>275</v>
      </c>
      <c r="F8" s="22" t="s">
        <v>102</v>
      </c>
      <c r="G8" s="13" t="s">
        <v>37</v>
      </c>
      <c r="H8" s="12" t="s">
        <v>132</v>
      </c>
      <c r="I8" s="11">
        <v>1502</v>
      </c>
      <c r="J8" s="10"/>
      <c r="K8" s="9">
        <v>1502</v>
      </c>
      <c r="L8" s="8">
        <f t="shared" si="0"/>
        <v>0</v>
      </c>
    </row>
    <row r="9" spans="1:12" ht="150.75" customHeight="1" thickBot="1" x14ac:dyDescent="0.3">
      <c r="A9" s="50"/>
      <c r="B9" s="13" t="s">
        <v>239</v>
      </c>
      <c r="C9" s="12" t="s">
        <v>163</v>
      </c>
      <c r="D9" s="12" t="s">
        <v>24</v>
      </c>
      <c r="E9" s="13" t="s">
        <v>276</v>
      </c>
      <c r="F9" s="22" t="s">
        <v>102</v>
      </c>
      <c r="G9" s="13" t="s">
        <v>37</v>
      </c>
      <c r="H9" s="12" t="s">
        <v>132</v>
      </c>
      <c r="I9" s="11">
        <v>80</v>
      </c>
      <c r="J9" s="10"/>
      <c r="K9" s="9">
        <v>80</v>
      </c>
      <c r="L9" s="8">
        <f t="shared" si="0"/>
        <v>0</v>
      </c>
    </row>
    <row r="10" spans="1:12" ht="150.75" customHeight="1" thickBot="1" x14ac:dyDescent="0.3">
      <c r="A10" s="50"/>
      <c r="B10" s="13" t="s">
        <v>61</v>
      </c>
      <c r="C10" s="12" t="s">
        <v>31</v>
      </c>
      <c r="D10" s="12" t="s">
        <v>24</v>
      </c>
      <c r="E10" s="13" t="s">
        <v>247</v>
      </c>
      <c r="F10" s="22" t="s">
        <v>4</v>
      </c>
      <c r="G10" s="13" t="s">
        <v>0</v>
      </c>
      <c r="H10" s="12" t="s">
        <v>218</v>
      </c>
      <c r="I10" s="11">
        <v>380</v>
      </c>
      <c r="J10" s="10"/>
      <c r="K10" s="9">
        <v>380</v>
      </c>
      <c r="L10" s="8">
        <f t="shared" si="0"/>
        <v>0</v>
      </c>
    </row>
    <row r="11" spans="1:12" ht="150.75" customHeight="1" thickBot="1" x14ac:dyDescent="0.3">
      <c r="A11" s="50"/>
      <c r="B11" s="13" t="s">
        <v>61</v>
      </c>
      <c r="C11" s="12" t="s">
        <v>31</v>
      </c>
      <c r="D11" s="12" t="s">
        <v>24</v>
      </c>
      <c r="E11" s="13" t="s">
        <v>248</v>
      </c>
      <c r="F11" s="22" t="s">
        <v>4</v>
      </c>
      <c r="G11" s="13" t="s">
        <v>8</v>
      </c>
      <c r="H11" s="12" t="s">
        <v>218</v>
      </c>
      <c r="I11" s="11">
        <v>150</v>
      </c>
      <c r="J11" s="10"/>
      <c r="K11" s="9">
        <v>150</v>
      </c>
      <c r="L11" s="8">
        <f t="shared" si="0"/>
        <v>0</v>
      </c>
    </row>
    <row r="12" spans="1:12" ht="150.75" customHeight="1" thickBot="1" x14ac:dyDescent="0.3">
      <c r="A12" s="50"/>
      <c r="B12" s="24" t="s">
        <v>61</v>
      </c>
      <c r="C12" s="12" t="s">
        <v>31</v>
      </c>
      <c r="D12" s="12" t="s">
        <v>24</v>
      </c>
      <c r="E12" s="13" t="s">
        <v>248</v>
      </c>
      <c r="F12" s="22" t="s">
        <v>4</v>
      </c>
      <c r="G12" s="13" t="s">
        <v>0</v>
      </c>
      <c r="H12" s="12" t="s">
        <v>218</v>
      </c>
      <c r="I12" s="11">
        <v>2020</v>
      </c>
      <c r="J12" s="10"/>
      <c r="K12" s="9">
        <v>2020</v>
      </c>
      <c r="L12" s="8">
        <f t="shared" si="0"/>
        <v>0</v>
      </c>
    </row>
    <row r="13" spans="1:12" ht="150.75" customHeight="1" thickBot="1" x14ac:dyDescent="0.3">
      <c r="A13" s="50"/>
      <c r="B13" s="24" t="s">
        <v>112</v>
      </c>
      <c r="C13" s="12" t="s">
        <v>113</v>
      </c>
      <c r="D13" s="12" t="s">
        <v>24</v>
      </c>
      <c r="E13" s="13" t="s">
        <v>273</v>
      </c>
      <c r="F13" s="22" t="s">
        <v>4</v>
      </c>
      <c r="G13" s="13" t="s">
        <v>0</v>
      </c>
      <c r="H13" s="12" t="s">
        <v>218</v>
      </c>
      <c r="I13" s="11">
        <v>837</v>
      </c>
      <c r="J13" s="10"/>
      <c r="K13" s="9">
        <v>837</v>
      </c>
      <c r="L13" s="8">
        <f t="shared" si="0"/>
        <v>0</v>
      </c>
    </row>
    <row r="14" spans="1:12" ht="150.75" customHeight="1" thickBot="1" x14ac:dyDescent="0.3">
      <c r="A14" s="34" t="s">
        <v>23</v>
      </c>
      <c r="B14" s="24" t="s">
        <v>21</v>
      </c>
      <c r="C14" s="12" t="s">
        <v>3</v>
      </c>
      <c r="D14" s="12" t="s">
        <v>20</v>
      </c>
      <c r="E14" s="13" t="s">
        <v>56</v>
      </c>
      <c r="F14" s="22" t="s">
        <v>9</v>
      </c>
      <c r="G14" s="13" t="s">
        <v>0</v>
      </c>
      <c r="H14" s="12" t="s">
        <v>245</v>
      </c>
      <c r="I14" s="11">
        <v>5000</v>
      </c>
      <c r="J14" s="10"/>
      <c r="K14" s="9">
        <v>5000</v>
      </c>
      <c r="L14" s="8">
        <f t="shared" si="0"/>
        <v>0</v>
      </c>
    </row>
    <row r="15" spans="1:12" ht="150.75" customHeight="1" thickBot="1" x14ac:dyDescent="0.3">
      <c r="A15" s="46" t="s">
        <v>54</v>
      </c>
      <c r="B15" s="24" t="s">
        <v>172</v>
      </c>
      <c r="C15" s="12" t="s">
        <v>173</v>
      </c>
      <c r="D15" s="22" t="s">
        <v>174</v>
      </c>
      <c r="E15" s="13" t="s">
        <v>175</v>
      </c>
      <c r="F15" s="22" t="s">
        <v>4</v>
      </c>
      <c r="G15" s="13" t="s">
        <v>0</v>
      </c>
      <c r="H15" s="12" t="s">
        <v>218</v>
      </c>
      <c r="I15" s="11">
        <v>220</v>
      </c>
      <c r="J15" s="10">
        <v>220</v>
      </c>
      <c r="K15" s="9"/>
      <c r="L15" s="8">
        <f t="shared" si="0"/>
        <v>0</v>
      </c>
    </row>
    <row r="16" spans="1:12" ht="150.75" customHeight="1" thickBot="1" x14ac:dyDescent="0.3">
      <c r="A16" s="47"/>
      <c r="B16" s="24" t="s">
        <v>172</v>
      </c>
      <c r="C16" s="12" t="s">
        <v>173</v>
      </c>
      <c r="D16" s="22" t="s">
        <v>174</v>
      </c>
      <c r="E16" s="13" t="s">
        <v>176</v>
      </c>
      <c r="F16" s="22" t="s">
        <v>4</v>
      </c>
      <c r="G16" s="13" t="s">
        <v>37</v>
      </c>
      <c r="H16" s="12" t="s">
        <v>218</v>
      </c>
      <c r="I16" s="11">
        <v>3</v>
      </c>
      <c r="J16" s="10"/>
      <c r="K16" s="9">
        <v>3</v>
      </c>
      <c r="L16" s="8">
        <f t="shared" si="0"/>
        <v>0</v>
      </c>
    </row>
    <row r="17" spans="1:12" ht="150.75" customHeight="1" thickBot="1" x14ac:dyDescent="0.3">
      <c r="A17" s="47"/>
      <c r="B17" s="24" t="s">
        <v>67</v>
      </c>
      <c r="C17" s="12" t="s">
        <v>68</v>
      </c>
      <c r="D17" s="12" t="s">
        <v>60</v>
      </c>
      <c r="E17" s="13" t="s">
        <v>160</v>
      </c>
      <c r="F17" s="22" t="s">
        <v>102</v>
      </c>
      <c r="G17" s="13" t="s">
        <v>37</v>
      </c>
      <c r="H17" s="12" t="s">
        <v>218</v>
      </c>
      <c r="I17" s="11">
        <v>7</v>
      </c>
      <c r="J17" s="10"/>
      <c r="K17" s="9">
        <v>7</v>
      </c>
      <c r="L17" s="8">
        <f t="shared" si="0"/>
        <v>0</v>
      </c>
    </row>
    <row r="18" spans="1:12" ht="150.75" customHeight="1" thickBot="1" x14ac:dyDescent="0.3">
      <c r="A18" s="47"/>
      <c r="B18" s="24" t="s">
        <v>67</v>
      </c>
      <c r="C18" s="12" t="s">
        <v>68</v>
      </c>
      <c r="D18" s="12" t="s">
        <v>60</v>
      </c>
      <c r="E18" s="13" t="s">
        <v>161</v>
      </c>
      <c r="F18" s="22" t="s">
        <v>102</v>
      </c>
      <c r="G18" s="13" t="s">
        <v>37</v>
      </c>
      <c r="H18" s="12" t="s">
        <v>218</v>
      </c>
      <c r="I18" s="11">
        <v>20</v>
      </c>
      <c r="J18" s="10"/>
      <c r="K18" s="9">
        <v>20</v>
      </c>
      <c r="L18" s="8">
        <f t="shared" si="0"/>
        <v>0</v>
      </c>
    </row>
    <row r="19" spans="1:12" ht="150.75" customHeight="1" thickBot="1" x14ac:dyDescent="0.3">
      <c r="A19" s="47"/>
      <c r="B19" s="24" t="s">
        <v>104</v>
      </c>
      <c r="C19" s="12" t="s">
        <v>31</v>
      </c>
      <c r="D19" s="12" t="s">
        <v>60</v>
      </c>
      <c r="E19" s="13" t="s">
        <v>207</v>
      </c>
      <c r="F19" s="22" t="s">
        <v>64</v>
      </c>
      <c r="G19" s="13" t="s">
        <v>37</v>
      </c>
      <c r="H19" s="12" t="s">
        <v>218</v>
      </c>
      <c r="I19" s="11">
        <v>21</v>
      </c>
      <c r="J19" s="10"/>
      <c r="K19" s="9">
        <v>21</v>
      </c>
      <c r="L19" s="8">
        <f t="shared" si="0"/>
        <v>0</v>
      </c>
    </row>
    <row r="20" spans="1:12" ht="150.75" customHeight="1" thickBot="1" x14ac:dyDescent="0.3">
      <c r="A20" s="47"/>
      <c r="B20" s="24" t="s">
        <v>104</v>
      </c>
      <c r="C20" s="12" t="s">
        <v>31</v>
      </c>
      <c r="D20" s="12" t="s">
        <v>60</v>
      </c>
      <c r="E20" s="13" t="s">
        <v>192</v>
      </c>
      <c r="F20" s="22" t="s">
        <v>64</v>
      </c>
      <c r="G20" s="13" t="s">
        <v>37</v>
      </c>
      <c r="H20" s="12" t="s">
        <v>218</v>
      </c>
      <c r="I20" s="11">
        <v>8</v>
      </c>
      <c r="J20" s="10"/>
      <c r="K20" s="9">
        <v>8</v>
      </c>
      <c r="L20" s="8">
        <f t="shared" si="0"/>
        <v>0</v>
      </c>
    </row>
    <row r="21" spans="1:12" ht="150.75" customHeight="1" thickBot="1" x14ac:dyDescent="0.3">
      <c r="A21" s="47"/>
      <c r="B21" s="24" t="s">
        <v>104</v>
      </c>
      <c r="C21" s="12" t="s">
        <v>31</v>
      </c>
      <c r="D21" s="12" t="s">
        <v>60</v>
      </c>
      <c r="E21" s="13" t="s">
        <v>208</v>
      </c>
      <c r="F21" s="22" t="s">
        <v>64</v>
      </c>
      <c r="G21" s="13" t="s">
        <v>37</v>
      </c>
      <c r="H21" s="12" t="s">
        <v>218</v>
      </c>
      <c r="I21" s="11">
        <v>4</v>
      </c>
      <c r="J21" s="10"/>
      <c r="K21" s="9">
        <v>4</v>
      </c>
      <c r="L21" s="8">
        <f t="shared" si="0"/>
        <v>0</v>
      </c>
    </row>
    <row r="22" spans="1:12" ht="150.75" customHeight="1" thickBot="1" x14ac:dyDescent="0.3">
      <c r="A22" s="47"/>
      <c r="B22" s="24" t="s">
        <v>104</v>
      </c>
      <c r="C22" s="12" t="s">
        <v>31</v>
      </c>
      <c r="D22" s="12" t="s">
        <v>60</v>
      </c>
      <c r="E22" s="13" t="s">
        <v>193</v>
      </c>
      <c r="F22" s="22" t="s">
        <v>64</v>
      </c>
      <c r="G22" s="13" t="s">
        <v>37</v>
      </c>
      <c r="H22" s="12" t="s">
        <v>218</v>
      </c>
      <c r="I22" s="11">
        <v>4</v>
      </c>
      <c r="J22" s="10"/>
      <c r="K22" s="9">
        <v>4</v>
      </c>
      <c r="L22" s="8">
        <f t="shared" si="0"/>
        <v>0</v>
      </c>
    </row>
    <row r="23" spans="1:12" ht="150.75" customHeight="1" thickBot="1" x14ac:dyDescent="0.3">
      <c r="A23" s="47"/>
      <c r="B23" s="24" t="s">
        <v>104</v>
      </c>
      <c r="C23" s="12" t="s">
        <v>31</v>
      </c>
      <c r="D23" s="12" t="s">
        <v>60</v>
      </c>
      <c r="E23" s="13" t="s">
        <v>209</v>
      </c>
      <c r="F23" s="22" t="s">
        <v>64</v>
      </c>
      <c r="G23" s="13" t="s">
        <v>37</v>
      </c>
      <c r="H23" s="12" t="s">
        <v>218</v>
      </c>
      <c r="I23" s="11">
        <v>35</v>
      </c>
      <c r="J23" s="10"/>
      <c r="K23" s="9">
        <v>35</v>
      </c>
      <c r="L23" s="8">
        <f t="shared" si="0"/>
        <v>0</v>
      </c>
    </row>
    <row r="24" spans="1:12" ht="150.75" customHeight="1" thickBot="1" x14ac:dyDescent="0.3">
      <c r="A24" s="47"/>
      <c r="B24" s="24" t="s">
        <v>104</v>
      </c>
      <c r="C24" s="12" t="s">
        <v>31</v>
      </c>
      <c r="D24" s="12" t="s">
        <v>60</v>
      </c>
      <c r="E24" s="13" t="s">
        <v>210</v>
      </c>
      <c r="F24" s="22" t="s">
        <v>64</v>
      </c>
      <c r="G24" s="13" t="s">
        <v>37</v>
      </c>
      <c r="H24" s="12" t="s">
        <v>218</v>
      </c>
      <c r="I24" s="11">
        <v>23</v>
      </c>
      <c r="J24" s="10"/>
      <c r="K24" s="9">
        <v>23</v>
      </c>
      <c r="L24" s="8">
        <f t="shared" si="0"/>
        <v>0</v>
      </c>
    </row>
    <row r="25" spans="1:12" ht="150.75" customHeight="1" thickBot="1" x14ac:dyDescent="0.3">
      <c r="A25" s="47"/>
      <c r="B25" s="24" t="s">
        <v>104</v>
      </c>
      <c r="C25" s="12" t="s">
        <v>31</v>
      </c>
      <c r="D25" s="12" t="s">
        <v>60</v>
      </c>
      <c r="E25" s="13" t="s">
        <v>212</v>
      </c>
      <c r="F25" s="22" t="s">
        <v>64</v>
      </c>
      <c r="G25" s="13" t="s">
        <v>37</v>
      </c>
      <c r="H25" s="12" t="s">
        <v>218</v>
      </c>
      <c r="I25" s="11">
        <v>25</v>
      </c>
      <c r="J25" s="10"/>
      <c r="K25" s="9">
        <v>25</v>
      </c>
      <c r="L25" s="8">
        <f t="shared" si="0"/>
        <v>0</v>
      </c>
    </row>
    <row r="26" spans="1:12" ht="150.75" customHeight="1" thickBot="1" x14ac:dyDescent="0.3">
      <c r="A26" s="47"/>
      <c r="B26" s="24" t="s">
        <v>104</v>
      </c>
      <c r="C26" s="12" t="s">
        <v>31</v>
      </c>
      <c r="D26" s="12" t="s">
        <v>60</v>
      </c>
      <c r="E26" s="13" t="s">
        <v>213</v>
      </c>
      <c r="F26" s="22" t="s">
        <v>64</v>
      </c>
      <c r="G26" s="13" t="s">
        <v>37</v>
      </c>
      <c r="H26" s="12" t="s">
        <v>218</v>
      </c>
      <c r="I26" s="11">
        <v>22</v>
      </c>
      <c r="J26" s="10"/>
      <c r="K26" s="9">
        <v>22</v>
      </c>
      <c r="L26" s="8">
        <f t="shared" si="0"/>
        <v>0</v>
      </c>
    </row>
    <row r="27" spans="1:12" ht="150.75" customHeight="1" thickBot="1" x14ac:dyDescent="0.3">
      <c r="A27" s="47"/>
      <c r="B27" s="24" t="s">
        <v>104</v>
      </c>
      <c r="C27" s="12" t="s">
        <v>31</v>
      </c>
      <c r="D27" s="12" t="s">
        <v>60</v>
      </c>
      <c r="E27" s="13" t="s">
        <v>277</v>
      </c>
      <c r="F27" s="22" t="s">
        <v>64</v>
      </c>
      <c r="G27" s="13" t="s">
        <v>37</v>
      </c>
      <c r="H27" s="12" t="s">
        <v>218</v>
      </c>
      <c r="I27" s="11">
        <v>133</v>
      </c>
      <c r="J27" s="10"/>
      <c r="K27" s="9">
        <v>133</v>
      </c>
      <c r="L27" s="8">
        <f t="shared" si="0"/>
        <v>0</v>
      </c>
    </row>
    <row r="28" spans="1:12" ht="150.75" customHeight="1" thickBot="1" x14ac:dyDescent="0.3">
      <c r="A28" s="47"/>
      <c r="B28" s="24" t="s">
        <v>104</v>
      </c>
      <c r="C28" s="12" t="s">
        <v>31</v>
      </c>
      <c r="D28" s="12" t="s">
        <v>60</v>
      </c>
      <c r="E28" s="13" t="s">
        <v>214</v>
      </c>
      <c r="F28" s="22" t="s">
        <v>64</v>
      </c>
      <c r="G28" s="13" t="s">
        <v>37</v>
      </c>
      <c r="H28" s="12" t="s">
        <v>218</v>
      </c>
      <c r="I28" s="11">
        <v>115</v>
      </c>
      <c r="J28" s="10"/>
      <c r="K28" s="9">
        <v>115</v>
      </c>
      <c r="L28" s="8">
        <f t="shared" si="0"/>
        <v>0</v>
      </c>
    </row>
    <row r="29" spans="1:12" ht="150.75" customHeight="1" thickBot="1" x14ac:dyDescent="0.3">
      <c r="A29" s="47"/>
      <c r="B29" s="24" t="s">
        <v>104</v>
      </c>
      <c r="C29" s="12" t="s">
        <v>31</v>
      </c>
      <c r="D29" s="12" t="s">
        <v>60</v>
      </c>
      <c r="E29" s="13" t="s">
        <v>278</v>
      </c>
      <c r="F29" s="22" t="s">
        <v>64</v>
      </c>
      <c r="G29" s="13" t="s">
        <v>37</v>
      </c>
      <c r="H29" s="12" t="s">
        <v>218</v>
      </c>
      <c r="I29" s="11">
        <v>89</v>
      </c>
      <c r="J29" s="10"/>
      <c r="K29" s="9">
        <v>89</v>
      </c>
      <c r="L29" s="8">
        <f t="shared" si="0"/>
        <v>0</v>
      </c>
    </row>
    <row r="30" spans="1:12" ht="150.75" customHeight="1" thickBot="1" x14ac:dyDescent="0.3">
      <c r="A30" s="48"/>
      <c r="B30" s="24" t="s">
        <v>104</v>
      </c>
      <c r="C30" s="12" t="s">
        <v>31</v>
      </c>
      <c r="D30" s="12" t="s">
        <v>60</v>
      </c>
      <c r="E30" s="13" t="s">
        <v>279</v>
      </c>
      <c r="F30" s="22" t="s">
        <v>64</v>
      </c>
      <c r="G30" s="13" t="s">
        <v>37</v>
      </c>
      <c r="H30" s="12" t="s">
        <v>218</v>
      </c>
      <c r="I30" s="11">
        <v>49</v>
      </c>
      <c r="J30" s="10"/>
      <c r="K30" s="9">
        <v>49</v>
      </c>
      <c r="L30" s="8">
        <f t="shared" si="0"/>
        <v>0</v>
      </c>
    </row>
    <row r="31" spans="1:12" ht="150.75" customHeight="1" thickBot="1" x14ac:dyDescent="0.3">
      <c r="A31" s="46" t="s">
        <v>19</v>
      </c>
      <c r="B31" s="24" t="s">
        <v>18</v>
      </c>
      <c r="C31" s="12" t="s">
        <v>17</v>
      </c>
      <c r="D31" s="12" t="s">
        <v>14</v>
      </c>
      <c r="E31" s="13" t="s">
        <v>16</v>
      </c>
      <c r="F31" s="22" t="s">
        <v>4</v>
      </c>
      <c r="G31" s="13" t="s">
        <v>0</v>
      </c>
      <c r="H31" s="12" t="s">
        <v>218</v>
      </c>
      <c r="I31" s="11">
        <v>2638</v>
      </c>
      <c r="J31" s="10">
        <v>1000</v>
      </c>
      <c r="K31" s="9">
        <v>1638</v>
      </c>
      <c r="L31" s="8">
        <f t="shared" si="0"/>
        <v>0</v>
      </c>
    </row>
    <row r="32" spans="1:12" ht="150.75" customHeight="1" thickBot="1" x14ac:dyDescent="0.3">
      <c r="A32" s="47"/>
      <c r="B32" s="24" t="s">
        <v>12</v>
      </c>
      <c r="C32" s="12" t="s">
        <v>3</v>
      </c>
      <c r="D32" s="12" t="s">
        <v>11</v>
      </c>
      <c r="E32" s="13" t="s">
        <v>10</v>
      </c>
      <c r="F32" s="22" t="s">
        <v>9</v>
      </c>
      <c r="G32" s="13" t="s">
        <v>0</v>
      </c>
      <c r="H32" s="12" t="s">
        <v>245</v>
      </c>
      <c r="I32" s="11">
        <v>5000</v>
      </c>
      <c r="J32" s="10">
        <v>2000</v>
      </c>
      <c r="K32" s="9">
        <v>3000</v>
      </c>
      <c r="L32" s="8">
        <f t="shared" si="0"/>
        <v>0</v>
      </c>
    </row>
    <row r="33" spans="1:12" ht="150.75" customHeight="1" thickBot="1" x14ac:dyDescent="0.3">
      <c r="A33" s="47"/>
      <c r="B33" s="24" t="s">
        <v>194</v>
      </c>
      <c r="C33" s="12" t="s">
        <v>3</v>
      </c>
      <c r="D33" s="12" t="s">
        <v>1</v>
      </c>
      <c r="E33" s="13" t="s">
        <v>195</v>
      </c>
      <c r="F33" s="22" t="s">
        <v>122</v>
      </c>
      <c r="G33" s="13" t="s">
        <v>0</v>
      </c>
      <c r="H33" s="12" t="s">
        <v>245</v>
      </c>
      <c r="I33" s="11">
        <v>5000</v>
      </c>
      <c r="J33" s="10"/>
      <c r="K33" s="9">
        <v>5000</v>
      </c>
      <c r="L33" s="8">
        <f t="shared" si="0"/>
        <v>0</v>
      </c>
    </row>
  </sheetData>
  <autoFilter ref="A2:L33"/>
  <dataConsolidate/>
  <mergeCells count="5">
    <mergeCell ref="A1:L1"/>
    <mergeCell ref="A8:A13"/>
    <mergeCell ref="A15:A30"/>
    <mergeCell ref="A31:A33"/>
    <mergeCell ref="A3:A7"/>
  </mergeCells>
  <conditionalFormatting sqref="I2:I20 K3:L20">
    <cfRule type="cellIs" dxfId="130" priority="4" operator="lessThan">
      <formula>0</formula>
    </cfRule>
  </conditionalFormatting>
  <conditionalFormatting sqref="L2">
    <cfRule type="cellIs" dxfId="129" priority="3" operator="lessThan">
      <formula>0</formula>
    </cfRule>
  </conditionalFormatting>
  <conditionalFormatting sqref="L21:L33">
    <cfRule type="cellIs" dxfId="128" priority="2" operator="lessThan">
      <formula>0</formula>
    </cfRule>
  </conditionalFormatting>
  <conditionalFormatting sqref="I21:I33 K21:K33">
    <cfRule type="cellIs" dxfId="127" priority="1" operator="lessThan">
      <formula>0</formula>
    </cfRule>
  </conditionalFormatting>
  <printOptions horizontalCentered="1"/>
  <pageMargins left="0" right="0" top="0" bottom="0" header="0" footer="0"/>
  <pageSetup paperSize="9" scale="11" fitToHeight="0" orientation="portrait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8"/>
  <sheetViews>
    <sheetView showGridLines="0" view="pageBreakPreview" topLeftCell="A13" zoomScale="20" zoomScaleNormal="27" zoomScaleSheetLayoutView="20" workbookViewId="0">
      <selection activeCell="K17" sqref="K17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10.28515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136</v>
      </c>
      <c r="C3" s="12" t="s">
        <v>235</v>
      </c>
      <c r="D3" s="12" t="s">
        <v>126</v>
      </c>
      <c r="E3" s="13" t="s">
        <v>236</v>
      </c>
      <c r="F3" s="22" t="s">
        <v>122</v>
      </c>
      <c r="G3" s="13" t="s">
        <v>0</v>
      </c>
      <c r="H3" s="12" t="s">
        <v>282</v>
      </c>
      <c r="I3" s="11">
        <v>3000</v>
      </c>
      <c r="J3" s="10">
        <v>1000</v>
      </c>
      <c r="K3" s="9">
        <v>2000</v>
      </c>
      <c r="L3" s="8">
        <f t="shared" ref="L3:L38" si="0">K3+J3-I3</f>
        <v>0</v>
      </c>
    </row>
    <row r="4" spans="1:12" ht="150.75" customHeight="1" thickBot="1" x14ac:dyDescent="0.3">
      <c r="A4" s="47"/>
      <c r="B4" s="13" t="s">
        <v>136</v>
      </c>
      <c r="C4" s="12" t="s">
        <v>3</v>
      </c>
      <c r="D4" s="12" t="s">
        <v>126</v>
      </c>
      <c r="E4" s="13" t="s">
        <v>153</v>
      </c>
      <c r="F4" s="22" t="s">
        <v>122</v>
      </c>
      <c r="G4" s="13" t="s">
        <v>0</v>
      </c>
      <c r="H4" s="12" t="s">
        <v>282</v>
      </c>
      <c r="I4" s="11">
        <v>3000</v>
      </c>
      <c r="J4" s="10"/>
      <c r="K4" s="9">
        <v>3000</v>
      </c>
      <c r="L4" s="8">
        <f t="shared" si="0"/>
        <v>0</v>
      </c>
    </row>
    <row r="5" spans="1:12" ht="150.75" customHeight="1" thickBot="1" x14ac:dyDescent="0.3">
      <c r="A5" s="47"/>
      <c r="B5" s="13" t="s">
        <v>40</v>
      </c>
      <c r="C5" s="12" t="s">
        <v>100</v>
      </c>
      <c r="D5" s="12" t="s">
        <v>126</v>
      </c>
      <c r="E5" s="13" t="s">
        <v>130</v>
      </c>
      <c r="F5" s="22" t="s">
        <v>131</v>
      </c>
      <c r="G5" s="13" t="s">
        <v>37</v>
      </c>
      <c r="H5" s="12" t="s">
        <v>218</v>
      </c>
      <c r="I5" s="11">
        <v>2000</v>
      </c>
      <c r="J5" s="10">
        <v>1000</v>
      </c>
      <c r="K5" s="9">
        <v>1000</v>
      </c>
      <c r="L5" s="8">
        <f t="shared" si="0"/>
        <v>0</v>
      </c>
    </row>
    <row r="6" spans="1:12" ht="150.75" customHeight="1" thickBot="1" x14ac:dyDescent="0.3">
      <c r="A6" s="47"/>
      <c r="B6" s="13" t="s">
        <v>157</v>
      </c>
      <c r="C6" s="12" t="s">
        <v>26</v>
      </c>
      <c r="D6" s="12" t="s">
        <v>24</v>
      </c>
      <c r="E6" s="13" t="s">
        <v>59</v>
      </c>
      <c r="F6" s="22" t="s">
        <v>4</v>
      </c>
      <c r="G6" s="13" t="s">
        <v>0</v>
      </c>
      <c r="H6" s="12" t="s">
        <v>245</v>
      </c>
      <c r="I6" s="11">
        <v>1008</v>
      </c>
      <c r="J6" s="10"/>
      <c r="K6" s="9">
        <v>1008</v>
      </c>
      <c r="L6" s="8">
        <f t="shared" si="0"/>
        <v>0</v>
      </c>
    </row>
    <row r="7" spans="1:12" ht="150.75" customHeight="1" thickBot="1" x14ac:dyDescent="0.3">
      <c r="A7" s="47"/>
      <c r="B7" s="13" t="s">
        <v>157</v>
      </c>
      <c r="C7" s="12" t="s">
        <v>26</v>
      </c>
      <c r="D7" s="12" t="s">
        <v>24</v>
      </c>
      <c r="E7" s="13" t="s">
        <v>25</v>
      </c>
      <c r="F7" s="22" t="s">
        <v>4</v>
      </c>
      <c r="G7" s="13" t="s">
        <v>0</v>
      </c>
      <c r="H7" s="12" t="s">
        <v>245</v>
      </c>
      <c r="I7" s="11">
        <v>1000</v>
      </c>
      <c r="J7" s="10">
        <v>500</v>
      </c>
      <c r="K7" s="9">
        <v>500</v>
      </c>
      <c r="L7" s="8">
        <f t="shared" si="0"/>
        <v>0</v>
      </c>
    </row>
    <row r="8" spans="1:12" ht="150.75" customHeight="1" thickBot="1" x14ac:dyDescent="0.3">
      <c r="A8" s="47"/>
      <c r="B8" s="24" t="s">
        <v>35</v>
      </c>
      <c r="C8" s="12" t="s">
        <v>34</v>
      </c>
      <c r="D8" s="12" t="s">
        <v>24</v>
      </c>
      <c r="E8" s="13" t="s">
        <v>33</v>
      </c>
      <c r="F8" s="22" t="s">
        <v>4</v>
      </c>
      <c r="G8" s="13" t="s">
        <v>0</v>
      </c>
      <c r="H8" s="12" t="s">
        <v>245</v>
      </c>
      <c r="I8" s="11">
        <v>2500</v>
      </c>
      <c r="J8" s="10"/>
      <c r="K8" s="9">
        <f>1500+1000</f>
        <v>2500</v>
      </c>
      <c r="L8" s="8">
        <f t="shared" si="0"/>
        <v>0</v>
      </c>
    </row>
    <row r="9" spans="1:12" ht="150.75" customHeight="1" thickBot="1" x14ac:dyDescent="0.3">
      <c r="A9" s="47"/>
      <c r="B9" s="24" t="s">
        <v>66</v>
      </c>
      <c r="C9" s="12" t="s">
        <v>62</v>
      </c>
      <c r="D9" s="12" t="s">
        <v>24</v>
      </c>
      <c r="E9" s="13" t="s">
        <v>63</v>
      </c>
      <c r="F9" s="22" t="s">
        <v>4</v>
      </c>
      <c r="G9" s="13" t="s">
        <v>0</v>
      </c>
      <c r="H9" s="12" t="s">
        <v>245</v>
      </c>
      <c r="I9" s="11">
        <v>3000</v>
      </c>
      <c r="J9" s="10">
        <v>1000</v>
      </c>
      <c r="K9" s="9">
        <v>2000</v>
      </c>
      <c r="L9" s="8">
        <f t="shared" si="0"/>
        <v>0</v>
      </c>
    </row>
    <row r="10" spans="1:12" ht="150.75" customHeight="1" thickBot="1" x14ac:dyDescent="0.3">
      <c r="A10" s="47"/>
      <c r="B10" s="24" t="s">
        <v>38</v>
      </c>
      <c r="C10" s="12" t="s">
        <v>15</v>
      </c>
      <c r="D10" s="12" t="s">
        <v>24</v>
      </c>
      <c r="E10" s="13" t="s">
        <v>96</v>
      </c>
      <c r="F10" s="22" t="s">
        <v>4</v>
      </c>
      <c r="G10" s="13" t="s">
        <v>0</v>
      </c>
      <c r="H10" s="12" t="s">
        <v>245</v>
      </c>
      <c r="I10" s="11">
        <v>3000</v>
      </c>
      <c r="J10" s="10">
        <v>1000</v>
      </c>
      <c r="K10" s="9">
        <v>2000</v>
      </c>
      <c r="L10" s="8">
        <f t="shared" si="0"/>
        <v>0</v>
      </c>
    </row>
    <row r="11" spans="1:12" ht="150.75" customHeight="1" thickBot="1" x14ac:dyDescent="0.3">
      <c r="A11" s="47"/>
      <c r="B11" s="24" t="s">
        <v>77</v>
      </c>
      <c r="C11" s="12" t="s">
        <v>27</v>
      </c>
      <c r="D11" s="22" t="s">
        <v>24</v>
      </c>
      <c r="E11" s="13" t="s">
        <v>55</v>
      </c>
      <c r="F11" s="22" t="s">
        <v>9</v>
      </c>
      <c r="G11" s="13" t="s">
        <v>0</v>
      </c>
      <c r="H11" s="12" t="s">
        <v>245</v>
      </c>
      <c r="I11" s="11">
        <v>5000</v>
      </c>
      <c r="J11" s="10"/>
      <c r="K11" s="9">
        <f>1500+1500+2000</f>
        <v>5000</v>
      </c>
      <c r="L11" s="8">
        <f t="shared" si="0"/>
        <v>0</v>
      </c>
    </row>
    <row r="12" spans="1:12" ht="150.75" customHeight="1" thickBot="1" x14ac:dyDescent="0.3">
      <c r="A12" s="47"/>
      <c r="B12" s="24" t="s">
        <v>77</v>
      </c>
      <c r="C12" s="12" t="s">
        <v>27</v>
      </c>
      <c r="D12" s="22" t="s">
        <v>24</v>
      </c>
      <c r="E12" s="13" t="s">
        <v>76</v>
      </c>
      <c r="F12" s="22" t="s">
        <v>4</v>
      </c>
      <c r="G12" s="13" t="s">
        <v>0</v>
      </c>
      <c r="H12" s="12" t="s">
        <v>245</v>
      </c>
      <c r="I12" s="11">
        <v>5000</v>
      </c>
      <c r="J12" s="10"/>
      <c r="K12" s="9">
        <f>1500+1500+2000</f>
        <v>5000</v>
      </c>
      <c r="L12" s="8">
        <f t="shared" si="0"/>
        <v>0</v>
      </c>
    </row>
    <row r="13" spans="1:12" ht="150.75" customHeight="1" thickBot="1" x14ac:dyDescent="0.3">
      <c r="A13" s="47"/>
      <c r="B13" s="24" t="s">
        <v>77</v>
      </c>
      <c r="C13" s="12" t="s">
        <v>27</v>
      </c>
      <c r="D13" s="12" t="s">
        <v>24</v>
      </c>
      <c r="E13" s="13" t="s">
        <v>111</v>
      </c>
      <c r="F13" s="22" t="s">
        <v>4</v>
      </c>
      <c r="G13" s="13" t="s">
        <v>0</v>
      </c>
      <c r="H13" s="12" t="s">
        <v>245</v>
      </c>
      <c r="I13" s="11">
        <v>1000</v>
      </c>
      <c r="J13" s="10">
        <v>1000</v>
      </c>
      <c r="K13" s="9"/>
      <c r="L13" s="8">
        <f t="shared" si="0"/>
        <v>0</v>
      </c>
    </row>
    <row r="14" spans="1:12" ht="150.75" customHeight="1" thickBot="1" x14ac:dyDescent="0.3">
      <c r="A14" s="47"/>
      <c r="B14" s="24" t="s">
        <v>112</v>
      </c>
      <c r="C14" s="12" t="s">
        <v>113</v>
      </c>
      <c r="D14" s="12" t="s">
        <v>24</v>
      </c>
      <c r="E14" s="13" t="s">
        <v>283</v>
      </c>
      <c r="F14" s="22" t="s">
        <v>4</v>
      </c>
      <c r="G14" s="13" t="s">
        <v>0</v>
      </c>
      <c r="H14" s="12" t="s">
        <v>245</v>
      </c>
      <c r="I14" s="11">
        <v>3109</v>
      </c>
      <c r="J14" s="10"/>
      <c r="K14" s="9">
        <f>1500+1609</f>
        <v>3109</v>
      </c>
      <c r="L14" s="8">
        <f t="shared" si="0"/>
        <v>0</v>
      </c>
    </row>
    <row r="15" spans="1:12" ht="150.75" customHeight="1" thickBot="1" x14ac:dyDescent="0.3">
      <c r="A15" s="47"/>
      <c r="B15" s="24" t="s">
        <v>32</v>
      </c>
      <c r="C15" s="12" t="s">
        <v>31</v>
      </c>
      <c r="D15" s="12" t="s">
        <v>24</v>
      </c>
      <c r="E15" s="13" t="s">
        <v>154</v>
      </c>
      <c r="F15" s="22" t="s">
        <v>4</v>
      </c>
      <c r="G15" s="13" t="s">
        <v>0</v>
      </c>
      <c r="H15" s="12" t="s">
        <v>245</v>
      </c>
      <c r="I15" s="11">
        <v>1000</v>
      </c>
      <c r="J15" s="10"/>
      <c r="K15" s="9">
        <v>1000</v>
      </c>
      <c r="L15" s="8">
        <f t="shared" si="0"/>
        <v>0</v>
      </c>
    </row>
    <row r="16" spans="1:12" ht="150.75" customHeight="1" thickBot="1" x14ac:dyDescent="0.3">
      <c r="A16" s="47"/>
      <c r="B16" s="24" t="s">
        <v>32</v>
      </c>
      <c r="C16" s="12" t="s">
        <v>31</v>
      </c>
      <c r="D16" s="12" t="s">
        <v>24</v>
      </c>
      <c r="E16" s="13" t="s">
        <v>70</v>
      </c>
      <c r="F16" s="22" t="s">
        <v>4</v>
      </c>
      <c r="G16" s="13" t="s">
        <v>0</v>
      </c>
      <c r="H16" s="12" t="s">
        <v>245</v>
      </c>
      <c r="I16" s="11">
        <v>5000</v>
      </c>
      <c r="J16" s="10">
        <v>1200</v>
      </c>
      <c r="K16" s="9">
        <f>1500+1500+800</f>
        <v>3800</v>
      </c>
      <c r="L16" s="8">
        <f t="shared" si="0"/>
        <v>0</v>
      </c>
    </row>
    <row r="17" spans="1:12" ht="150.75" customHeight="1" thickBot="1" x14ac:dyDescent="0.3">
      <c r="A17" s="48"/>
      <c r="B17" s="24" t="s">
        <v>28</v>
      </c>
      <c r="C17" s="12" t="s">
        <v>155</v>
      </c>
      <c r="D17" s="12" t="s">
        <v>24</v>
      </c>
      <c r="E17" s="13" t="s">
        <v>156</v>
      </c>
      <c r="F17" s="22" t="s">
        <v>4</v>
      </c>
      <c r="G17" s="13" t="s">
        <v>0</v>
      </c>
      <c r="H17" s="12" t="s">
        <v>245</v>
      </c>
      <c r="I17" s="11">
        <v>1000</v>
      </c>
      <c r="J17" s="10">
        <v>500</v>
      </c>
      <c r="K17" s="9">
        <v>500</v>
      </c>
      <c r="L17" s="8">
        <f t="shared" si="0"/>
        <v>0</v>
      </c>
    </row>
    <row r="18" spans="1:12" ht="150.75" customHeight="1" thickBot="1" x14ac:dyDescent="0.3">
      <c r="A18" s="46" t="s">
        <v>36</v>
      </c>
      <c r="B18" s="24" t="s">
        <v>66</v>
      </c>
      <c r="C18" s="12" t="s">
        <v>62</v>
      </c>
      <c r="D18" s="12" t="s">
        <v>24</v>
      </c>
      <c r="E18" s="13" t="s">
        <v>63</v>
      </c>
      <c r="F18" s="22" t="s">
        <v>4</v>
      </c>
      <c r="G18" s="13" t="s">
        <v>0</v>
      </c>
      <c r="H18" s="12" t="s">
        <v>245</v>
      </c>
      <c r="I18" s="11">
        <v>2000</v>
      </c>
      <c r="J18" s="10">
        <v>1000</v>
      </c>
      <c r="K18" s="9">
        <v>1000</v>
      </c>
      <c r="L18" s="8">
        <f t="shared" si="0"/>
        <v>0</v>
      </c>
    </row>
    <row r="19" spans="1:12" ht="150.75" customHeight="1" thickBot="1" x14ac:dyDescent="0.3">
      <c r="A19" s="47"/>
      <c r="B19" s="24" t="s">
        <v>35</v>
      </c>
      <c r="C19" s="12" t="s">
        <v>34</v>
      </c>
      <c r="D19" s="12" t="s">
        <v>24</v>
      </c>
      <c r="E19" s="13" t="s">
        <v>33</v>
      </c>
      <c r="F19" s="22" t="s">
        <v>4</v>
      </c>
      <c r="G19" s="13" t="s">
        <v>0</v>
      </c>
      <c r="H19" s="12" t="s">
        <v>245</v>
      </c>
      <c r="I19" s="11">
        <v>1500</v>
      </c>
      <c r="J19" s="10">
        <v>500</v>
      </c>
      <c r="K19" s="9">
        <v>1000</v>
      </c>
      <c r="L19" s="8">
        <f t="shared" si="0"/>
        <v>0</v>
      </c>
    </row>
    <row r="20" spans="1:12" ht="150.75" customHeight="1" thickBot="1" x14ac:dyDescent="0.3">
      <c r="A20" s="47"/>
      <c r="B20" s="24" t="s">
        <v>61</v>
      </c>
      <c r="C20" s="12" t="s">
        <v>31</v>
      </c>
      <c r="D20" s="12" t="s">
        <v>24</v>
      </c>
      <c r="E20" s="13" t="s">
        <v>154</v>
      </c>
      <c r="F20" s="22" t="s">
        <v>4</v>
      </c>
      <c r="G20" s="13" t="s">
        <v>0</v>
      </c>
      <c r="H20" s="12" t="s">
        <v>245</v>
      </c>
      <c r="I20" s="11">
        <v>1000</v>
      </c>
      <c r="J20" s="10">
        <v>1000</v>
      </c>
      <c r="K20" s="9"/>
      <c r="L20" s="8">
        <f t="shared" si="0"/>
        <v>0</v>
      </c>
    </row>
    <row r="21" spans="1:12" ht="150.75" customHeight="1" thickBot="1" x14ac:dyDescent="0.3">
      <c r="A21" s="47"/>
      <c r="B21" s="24" t="s">
        <v>61</v>
      </c>
      <c r="C21" s="12" t="s">
        <v>31</v>
      </c>
      <c r="D21" s="12" t="s">
        <v>24</v>
      </c>
      <c r="E21" s="13" t="s">
        <v>70</v>
      </c>
      <c r="F21" s="22" t="s">
        <v>4</v>
      </c>
      <c r="G21" s="13" t="s">
        <v>0</v>
      </c>
      <c r="H21" s="12" t="s">
        <v>245</v>
      </c>
      <c r="I21" s="11">
        <v>1500</v>
      </c>
      <c r="J21" s="10"/>
      <c r="K21" s="9">
        <v>1500</v>
      </c>
      <c r="L21" s="8">
        <f t="shared" si="0"/>
        <v>0</v>
      </c>
    </row>
    <row r="22" spans="1:12" ht="150.75" customHeight="1" thickBot="1" x14ac:dyDescent="0.3">
      <c r="A22" s="47"/>
      <c r="B22" s="24" t="s">
        <v>284</v>
      </c>
      <c r="C22" s="12" t="s">
        <v>113</v>
      </c>
      <c r="D22" s="12" t="s">
        <v>24</v>
      </c>
      <c r="E22" s="13" t="s">
        <v>283</v>
      </c>
      <c r="F22" s="22" t="s">
        <v>4</v>
      </c>
      <c r="G22" s="13" t="s">
        <v>0</v>
      </c>
      <c r="H22" s="12" t="s">
        <v>245</v>
      </c>
      <c r="I22" s="11">
        <v>2000</v>
      </c>
      <c r="J22" s="10">
        <v>1000</v>
      </c>
      <c r="K22" s="9">
        <v>1000</v>
      </c>
      <c r="L22" s="8">
        <f t="shared" si="0"/>
        <v>0</v>
      </c>
    </row>
    <row r="23" spans="1:12" ht="150.75" customHeight="1" thickBot="1" x14ac:dyDescent="0.3">
      <c r="A23" s="47"/>
      <c r="B23" s="24" t="s">
        <v>38</v>
      </c>
      <c r="C23" s="12" t="s">
        <v>15</v>
      </c>
      <c r="D23" s="12" t="s">
        <v>24</v>
      </c>
      <c r="E23" s="13" t="s">
        <v>96</v>
      </c>
      <c r="F23" s="22" t="s">
        <v>4</v>
      </c>
      <c r="G23" s="13" t="s">
        <v>0</v>
      </c>
      <c r="H23" s="12" t="s">
        <v>245</v>
      </c>
      <c r="I23" s="11">
        <v>2000</v>
      </c>
      <c r="J23" s="10">
        <v>1000</v>
      </c>
      <c r="K23" s="9">
        <v>1000</v>
      </c>
      <c r="L23" s="8">
        <f t="shared" si="0"/>
        <v>0</v>
      </c>
    </row>
    <row r="24" spans="1:12" ht="150.75" customHeight="1" thickBot="1" x14ac:dyDescent="0.3">
      <c r="A24" s="47"/>
      <c r="B24" s="24" t="s">
        <v>77</v>
      </c>
      <c r="C24" s="12" t="s">
        <v>27</v>
      </c>
      <c r="D24" s="12" t="s">
        <v>24</v>
      </c>
      <c r="E24" s="13" t="s">
        <v>76</v>
      </c>
      <c r="F24" s="22" t="s">
        <v>4</v>
      </c>
      <c r="G24" s="13" t="s">
        <v>0</v>
      </c>
      <c r="H24" s="12" t="s">
        <v>245</v>
      </c>
      <c r="I24" s="11">
        <v>2500</v>
      </c>
      <c r="J24" s="10">
        <v>1000</v>
      </c>
      <c r="K24" s="9">
        <v>1500</v>
      </c>
      <c r="L24" s="8">
        <f t="shared" si="0"/>
        <v>0</v>
      </c>
    </row>
    <row r="25" spans="1:12" ht="150.75" customHeight="1" thickBot="1" x14ac:dyDescent="0.3">
      <c r="A25" s="47"/>
      <c r="B25" s="24" t="s">
        <v>77</v>
      </c>
      <c r="C25" s="12" t="s">
        <v>27</v>
      </c>
      <c r="D25" s="12" t="s">
        <v>24</v>
      </c>
      <c r="E25" s="13" t="s">
        <v>111</v>
      </c>
      <c r="F25" s="22" t="s">
        <v>4</v>
      </c>
      <c r="G25" s="13" t="s">
        <v>0</v>
      </c>
      <c r="H25" s="12" t="s">
        <v>245</v>
      </c>
      <c r="I25" s="11">
        <v>500</v>
      </c>
      <c r="J25" s="10"/>
      <c r="K25" s="9">
        <v>500</v>
      </c>
      <c r="L25" s="8">
        <f t="shared" si="0"/>
        <v>0</v>
      </c>
    </row>
    <row r="26" spans="1:12" ht="150.75" customHeight="1" thickBot="1" x14ac:dyDescent="0.3">
      <c r="A26" s="48"/>
      <c r="B26" s="24" t="s">
        <v>157</v>
      </c>
      <c r="C26" s="12" t="s">
        <v>26</v>
      </c>
      <c r="D26" s="12" t="s">
        <v>24</v>
      </c>
      <c r="E26" s="13" t="s">
        <v>59</v>
      </c>
      <c r="F26" s="22" t="s">
        <v>4</v>
      </c>
      <c r="G26" s="13" t="s">
        <v>0</v>
      </c>
      <c r="H26" s="12" t="s">
        <v>245</v>
      </c>
      <c r="I26" s="11">
        <v>1000</v>
      </c>
      <c r="J26" s="10">
        <v>500</v>
      </c>
      <c r="K26" s="9">
        <v>500</v>
      </c>
      <c r="L26" s="8">
        <f t="shared" si="0"/>
        <v>0</v>
      </c>
    </row>
    <row r="27" spans="1:12" ht="150.75" customHeight="1" thickBot="1" x14ac:dyDescent="0.3">
      <c r="A27" s="46" t="s">
        <v>23</v>
      </c>
      <c r="B27" s="24" t="s">
        <v>12</v>
      </c>
      <c r="C27" s="12" t="s">
        <v>6</v>
      </c>
      <c r="D27" s="12" t="s">
        <v>20</v>
      </c>
      <c r="E27" s="13" t="s">
        <v>22</v>
      </c>
      <c r="F27" s="22" t="s">
        <v>4</v>
      </c>
      <c r="G27" s="13" t="s">
        <v>0</v>
      </c>
      <c r="H27" s="12" t="s">
        <v>245</v>
      </c>
      <c r="I27" s="11">
        <v>3000</v>
      </c>
      <c r="J27" s="10">
        <v>1000</v>
      </c>
      <c r="K27" s="9">
        <v>2000</v>
      </c>
      <c r="L27" s="8">
        <f t="shared" si="0"/>
        <v>0</v>
      </c>
    </row>
    <row r="28" spans="1:12" ht="150.75" customHeight="1" thickBot="1" x14ac:dyDescent="0.3">
      <c r="A28" s="48"/>
      <c r="B28" s="24" t="s">
        <v>21</v>
      </c>
      <c r="C28" s="12" t="s">
        <v>3</v>
      </c>
      <c r="D28" s="12" t="s">
        <v>20</v>
      </c>
      <c r="E28" s="13" t="s">
        <v>56</v>
      </c>
      <c r="F28" s="22" t="s">
        <v>9</v>
      </c>
      <c r="G28" s="13" t="s">
        <v>0</v>
      </c>
      <c r="H28" s="12" t="s">
        <v>245</v>
      </c>
      <c r="I28" s="11">
        <v>5000</v>
      </c>
      <c r="J28" s="10"/>
      <c r="K28" s="9">
        <v>5000</v>
      </c>
      <c r="L28" s="8">
        <f t="shared" si="0"/>
        <v>0</v>
      </c>
    </row>
    <row r="29" spans="1:12" ht="150.75" customHeight="1" thickBot="1" x14ac:dyDescent="0.3">
      <c r="A29" s="46" t="s">
        <v>19</v>
      </c>
      <c r="B29" s="24" t="s">
        <v>18</v>
      </c>
      <c r="C29" s="12" t="s">
        <v>17</v>
      </c>
      <c r="D29" s="12" t="s">
        <v>14</v>
      </c>
      <c r="E29" s="13" t="s">
        <v>16</v>
      </c>
      <c r="F29" s="22" t="s">
        <v>9</v>
      </c>
      <c r="G29" s="13" t="s">
        <v>0</v>
      </c>
      <c r="H29" s="12" t="s">
        <v>245</v>
      </c>
      <c r="I29" s="11">
        <v>1450</v>
      </c>
      <c r="J29" s="10">
        <v>500</v>
      </c>
      <c r="K29" s="9">
        <v>950</v>
      </c>
      <c r="L29" s="8">
        <f t="shared" si="0"/>
        <v>0</v>
      </c>
    </row>
    <row r="30" spans="1:12" ht="150.75" customHeight="1" thickBot="1" x14ac:dyDescent="0.3">
      <c r="A30" s="47"/>
      <c r="B30" s="24" t="s">
        <v>7</v>
      </c>
      <c r="C30" s="12" t="s">
        <v>15</v>
      </c>
      <c r="D30" s="12" t="s">
        <v>14</v>
      </c>
      <c r="E30" s="13" t="s">
        <v>58</v>
      </c>
      <c r="F30" s="22" t="s">
        <v>4</v>
      </c>
      <c r="G30" s="13" t="s">
        <v>0</v>
      </c>
      <c r="H30" s="12" t="s">
        <v>245</v>
      </c>
      <c r="I30" s="11">
        <v>3000</v>
      </c>
      <c r="J30" s="10">
        <v>1000</v>
      </c>
      <c r="K30" s="9">
        <v>2000</v>
      </c>
      <c r="L30" s="8">
        <f t="shared" si="0"/>
        <v>0</v>
      </c>
    </row>
    <row r="31" spans="1:12" ht="150.75" customHeight="1" thickBot="1" x14ac:dyDescent="0.3">
      <c r="A31" s="47"/>
      <c r="B31" s="24" t="s">
        <v>7</v>
      </c>
      <c r="C31" s="12" t="s">
        <v>15</v>
      </c>
      <c r="D31" s="12" t="s">
        <v>14</v>
      </c>
      <c r="E31" s="13" t="s">
        <v>13</v>
      </c>
      <c r="F31" s="22" t="s">
        <v>4</v>
      </c>
      <c r="G31" s="13" t="s">
        <v>0</v>
      </c>
      <c r="H31" s="12" t="s">
        <v>245</v>
      </c>
      <c r="I31" s="11">
        <v>3000</v>
      </c>
      <c r="J31" s="10">
        <v>1000</v>
      </c>
      <c r="K31" s="9">
        <v>2000</v>
      </c>
      <c r="L31" s="8">
        <f t="shared" si="0"/>
        <v>0</v>
      </c>
    </row>
    <row r="32" spans="1:12" ht="150.75" customHeight="1" thickBot="1" x14ac:dyDescent="0.3">
      <c r="A32" s="47"/>
      <c r="B32" s="24" t="s">
        <v>18</v>
      </c>
      <c r="C32" s="12" t="s">
        <v>285</v>
      </c>
      <c r="D32" s="12" t="s">
        <v>286</v>
      </c>
      <c r="E32" s="13" t="s">
        <v>287</v>
      </c>
      <c r="F32" s="22" t="s">
        <v>9</v>
      </c>
      <c r="G32" s="13" t="s">
        <v>0</v>
      </c>
      <c r="H32" s="12" t="s">
        <v>245</v>
      </c>
      <c r="I32" s="11">
        <v>4349</v>
      </c>
      <c r="J32" s="10">
        <v>1000</v>
      </c>
      <c r="K32" s="9">
        <v>3349</v>
      </c>
      <c r="L32" s="8">
        <f t="shared" si="0"/>
        <v>0</v>
      </c>
    </row>
    <row r="33" spans="1:12" ht="150.75" customHeight="1" thickBot="1" x14ac:dyDescent="0.3">
      <c r="A33" s="47"/>
      <c r="B33" s="24" t="s">
        <v>12</v>
      </c>
      <c r="C33" s="12" t="s">
        <v>118</v>
      </c>
      <c r="D33" s="12" t="s">
        <v>123</v>
      </c>
      <c r="E33" s="13" t="s">
        <v>124</v>
      </c>
      <c r="F33" s="22" t="s">
        <v>4</v>
      </c>
      <c r="G33" s="13" t="s">
        <v>0</v>
      </c>
      <c r="H33" s="12" t="s">
        <v>245</v>
      </c>
      <c r="I33" s="11">
        <v>3039</v>
      </c>
      <c r="J33" s="10">
        <v>1000</v>
      </c>
      <c r="K33" s="9">
        <v>2039</v>
      </c>
      <c r="L33" s="8">
        <f t="shared" si="0"/>
        <v>0</v>
      </c>
    </row>
    <row r="34" spans="1:12" ht="150.75" customHeight="1" thickBot="1" x14ac:dyDescent="0.3">
      <c r="A34" s="47"/>
      <c r="B34" s="24" t="s">
        <v>12</v>
      </c>
      <c r="C34" s="12" t="s">
        <v>3</v>
      </c>
      <c r="D34" s="12" t="s">
        <v>11</v>
      </c>
      <c r="E34" s="13" t="s">
        <v>10</v>
      </c>
      <c r="F34" s="22" t="s">
        <v>4</v>
      </c>
      <c r="G34" s="13" t="s">
        <v>0</v>
      </c>
      <c r="H34" s="12" t="s">
        <v>245</v>
      </c>
      <c r="I34" s="11">
        <v>5000</v>
      </c>
      <c r="J34" s="10">
        <v>3000</v>
      </c>
      <c r="K34" s="9">
        <v>2000</v>
      </c>
      <c r="L34" s="8">
        <f t="shared" si="0"/>
        <v>0</v>
      </c>
    </row>
    <row r="35" spans="1:12" ht="150.75" customHeight="1" thickBot="1" x14ac:dyDescent="0.3">
      <c r="A35" s="47"/>
      <c r="B35" s="24" t="s">
        <v>12</v>
      </c>
      <c r="C35" s="12" t="s">
        <v>3</v>
      </c>
      <c r="D35" s="12" t="s">
        <v>11</v>
      </c>
      <c r="E35" s="13" t="s">
        <v>10</v>
      </c>
      <c r="F35" s="22" t="s">
        <v>9</v>
      </c>
      <c r="G35" s="13" t="s">
        <v>0</v>
      </c>
      <c r="H35" s="12" t="s">
        <v>245</v>
      </c>
      <c r="I35" s="11">
        <v>5000</v>
      </c>
      <c r="J35" s="10"/>
      <c r="K35" s="9">
        <v>5000</v>
      </c>
      <c r="L35" s="8">
        <f t="shared" si="0"/>
        <v>0</v>
      </c>
    </row>
    <row r="36" spans="1:12" ht="150.75" customHeight="1" thickBot="1" x14ac:dyDescent="0.3">
      <c r="A36" s="47"/>
      <c r="B36" s="24" t="s">
        <v>7</v>
      </c>
      <c r="C36" s="12" t="s">
        <v>6</v>
      </c>
      <c r="D36" s="12" t="s">
        <v>1</v>
      </c>
      <c r="E36" s="13" t="s">
        <v>5</v>
      </c>
      <c r="F36" s="22" t="s">
        <v>4</v>
      </c>
      <c r="G36" s="13" t="s">
        <v>0</v>
      </c>
      <c r="H36" s="12" t="s">
        <v>245</v>
      </c>
      <c r="I36" s="11">
        <v>4000</v>
      </c>
      <c r="J36" s="10">
        <v>1000</v>
      </c>
      <c r="K36" s="9">
        <v>3000</v>
      </c>
      <c r="L36" s="8">
        <f t="shared" si="0"/>
        <v>0</v>
      </c>
    </row>
    <row r="37" spans="1:12" ht="150.75" customHeight="1" thickBot="1" x14ac:dyDescent="0.3">
      <c r="A37" s="47"/>
      <c r="B37" s="24" t="s">
        <v>194</v>
      </c>
      <c r="C37" s="12" t="s">
        <v>3</v>
      </c>
      <c r="D37" s="12" t="s">
        <v>1</v>
      </c>
      <c r="E37" s="13" t="s">
        <v>195</v>
      </c>
      <c r="F37" s="22" t="s">
        <v>122</v>
      </c>
      <c r="G37" s="13" t="s">
        <v>0</v>
      </c>
      <c r="H37" s="12" t="s">
        <v>245</v>
      </c>
      <c r="I37" s="11">
        <v>5000</v>
      </c>
      <c r="J37" s="10">
        <v>1000</v>
      </c>
      <c r="K37" s="9">
        <v>4000</v>
      </c>
      <c r="L37" s="8">
        <f t="shared" si="0"/>
        <v>0</v>
      </c>
    </row>
    <row r="38" spans="1:12" ht="150.75" customHeight="1" thickBot="1" x14ac:dyDescent="0.3">
      <c r="A38" s="48"/>
      <c r="B38" s="24" t="s">
        <v>194</v>
      </c>
      <c r="C38" s="12" t="s">
        <v>118</v>
      </c>
      <c r="D38" s="12" t="s">
        <v>1</v>
      </c>
      <c r="E38" s="13" t="s">
        <v>216</v>
      </c>
      <c r="F38" s="22" t="s">
        <v>122</v>
      </c>
      <c r="G38" s="13" t="s">
        <v>0</v>
      </c>
      <c r="H38" s="12" t="s">
        <v>245</v>
      </c>
      <c r="I38" s="11">
        <v>5000</v>
      </c>
      <c r="J38" s="10">
        <v>1000</v>
      </c>
      <c r="K38" s="9">
        <v>4000</v>
      </c>
      <c r="L38" s="8">
        <f t="shared" si="0"/>
        <v>0</v>
      </c>
    </row>
  </sheetData>
  <autoFilter ref="A2:L38"/>
  <dataConsolidate/>
  <mergeCells count="5">
    <mergeCell ref="A27:A28"/>
    <mergeCell ref="A29:A38"/>
    <mergeCell ref="A1:L1"/>
    <mergeCell ref="A3:A17"/>
    <mergeCell ref="A18:A26"/>
  </mergeCells>
  <conditionalFormatting sqref="K3:L27 I2:I27">
    <cfRule type="cellIs" dxfId="126" priority="5" operator="lessThan">
      <formula>0</formula>
    </cfRule>
  </conditionalFormatting>
  <conditionalFormatting sqref="L2">
    <cfRule type="cellIs" dxfId="125" priority="4" operator="lessThan">
      <formula>0</formula>
    </cfRule>
  </conditionalFormatting>
  <conditionalFormatting sqref="I28:I38 K28:L38">
    <cfRule type="cellIs" dxfId="124" priority="1" operator="lessThan">
      <formula>0</formula>
    </cfRule>
  </conditionalFormatting>
  <printOptions horizontalCentered="1"/>
  <pageMargins left="0" right="0" top="0" bottom="0" header="0" footer="0"/>
  <pageSetup paperSize="9" scale="11" fitToHeight="0" orientation="portrait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showGridLines="0" view="pageBreakPreview" zoomScale="20" zoomScaleNormal="27" zoomScaleSheetLayoutView="20" workbookViewId="0">
      <selection activeCell="K16" sqref="K16:K17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10.28515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288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77</v>
      </c>
      <c r="C3" s="12" t="s">
        <v>27</v>
      </c>
      <c r="D3" s="12" t="s">
        <v>24</v>
      </c>
      <c r="E3" s="13" t="s">
        <v>76</v>
      </c>
      <c r="F3" s="22" t="s">
        <v>4</v>
      </c>
      <c r="G3" s="13" t="s">
        <v>8</v>
      </c>
      <c r="H3" s="12" t="s">
        <v>79</v>
      </c>
      <c r="I3" s="11">
        <v>50</v>
      </c>
      <c r="J3" s="10"/>
      <c r="K3" s="9">
        <v>500</v>
      </c>
      <c r="L3" s="8">
        <f t="shared" ref="L3:L17" si="0">K3+J3-I3</f>
        <v>450</v>
      </c>
    </row>
    <row r="4" spans="1:12" ht="150.75" customHeight="1" thickBot="1" x14ac:dyDescent="0.3">
      <c r="A4" s="47"/>
      <c r="B4" s="13" t="s">
        <v>112</v>
      </c>
      <c r="C4" s="12" t="s">
        <v>113</v>
      </c>
      <c r="D4" s="12" t="s">
        <v>24</v>
      </c>
      <c r="E4" s="13" t="s">
        <v>273</v>
      </c>
      <c r="F4" s="22" t="s">
        <v>4</v>
      </c>
      <c r="G4" s="13" t="s">
        <v>0</v>
      </c>
      <c r="H4" s="12" t="s">
        <v>245</v>
      </c>
      <c r="I4" s="11">
        <v>478</v>
      </c>
      <c r="J4" s="10"/>
      <c r="K4" s="9">
        <v>478</v>
      </c>
      <c r="L4" s="8">
        <f t="shared" si="0"/>
        <v>0</v>
      </c>
    </row>
    <row r="5" spans="1:12" ht="150.75" customHeight="1" thickBot="1" x14ac:dyDescent="0.3">
      <c r="A5" s="47"/>
      <c r="B5" s="13" t="s">
        <v>32</v>
      </c>
      <c r="C5" s="12" t="s">
        <v>31</v>
      </c>
      <c r="D5" s="12" t="s">
        <v>24</v>
      </c>
      <c r="E5" s="13" t="s">
        <v>154</v>
      </c>
      <c r="F5" s="22" t="s">
        <v>4</v>
      </c>
      <c r="G5" s="13" t="s">
        <v>0</v>
      </c>
      <c r="H5" s="12" t="s">
        <v>245</v>
      </c>
      <c r="I5" s="11">
        <v>961</v>
      </c>
      <c r="J5" s="10"/>
      <c r="K5" s="9">
        <v>961</v>
      </c>
      <c r="L5" s="8">
        <f t="shared" si="0"/>
        <v>0</v>
      </c>
    </row>
    <row r="6" spans="1:12" ht="150.75" customHeight="1" thickBot="1" x14ac:dyDescent="0.3">
      <c r="A6" s="47"/>
      <c r="B6" s="13" t="s">
        <v>32</v>
      </c>
      <c r="C6" s="12" t="s">
        <v>31</v>
      </c>
      <c r="D6" s="12" t="s">
        <v>24</v>
      </c>
      <c r="E6" s="13" t="s">
        <v>248</v>
      </c>
      <c r="F6" s="22" t="s">
        <v>4</v>
      </c>
      <c r="G6" s="13" t="s">
        <v>0</v>
      </c>
      <c r="H6" s="12" t="s">
        <v>245</v>
      </c>
      <c r="I6" s="11">
        <v>360</v>
      </c>
      <c r="J6" s="10"/>
      <c r="K6" s="9">
        <v>360</v>
      </c>
      <c r="L6" s="8">
        <f t="shared" si="0"/>
        <v>0</v>
      </c>
    </row>
    <row r="7" spans="1:12" ht="150.75" customHeight="1" thickBot="1" x14ac:dyDescent="0.3">
      <c r="A7" s="48"/>
      <c r="B7" s="13" t="s">
        <v>32</v>
      </c>
      <c r="C7" s="12" t="s">
        <v>31</v>
      </c>
      <c r="D7" s="12" t="s">
        <v>24</v>
      </c>
      <c r="E7" s="13" t="s">
        <v>116</v>
      </c>
      <c r="F7" s="22" t="s">
        <v>9</v>
      </c>
      <c r="G7" s="13" t="s">
        <v>0</v>
      </c>
      <c r="H7" s="12" t="s">
        <v>245</v>
      </c>
      <c r="I7" s="11">
        <v>1000</v>
      </c>
      <c r="J7" s="10"/>
      <c r="K7" s="9">
        <v>1000</v>
      </c>
      <c r="L7" s="8">
        <f t="shared" si="0"/>
        <v>0</v>
      </c>
    </row>
    <row r="8" spans="1:12" ht="150.75" customHeight="1" thickBot="1" x14ac:dyDescent="0.3">
      <c r="A8" s="46" t="s">
        <v>36</v>
      </c>
      <c r="B8" s="24" t="s">
        <v>239</v>
      </c>
      <c r="C8" s="12" t="s">
        <v>163</v>
      </c>
      <c r="D8" s="12" t="s">
        <v>24</v>
      </c>
      <c r="E8" s="13" t="s">
        <v>252</v>
      </c>
      <c r="F8" s="22" t="s">
        <v>102</v>
      </c>
      <c r="G8" s="13" t="s">
        <v>37</v>
      </c>
      <c r="H8" s="12" t="s">
        <v>181</v>
      </c>
      <c r="I8" s="11">
        <v>614</v>
      </c>
      <c r="J8" s="10"/>
      <c r="K8" s="9">
        <v>614</v>
      </c>
      <c r="L8" s="8">
        <f t="shared" si="0"/>
        <v>0</v>
      </c>
    </row>
    <row r="9" spans="1:12" ht="150.75" customHeight="1" thickBot="1" x14ac:dyDescent="0.3">
      <c r="A9" s="47"/>
      <c r="B9" s="24" t="s">
        <v>35</v>
      </c>
      <c r="C9" s="12" t="s">
        <v>34</v>
      </c>
      <c r="D9" s="12" t="s">
        <v>24</v>
      </c>
      <c r="E9" s="13" t="s">
        <v>33</v>
      </c>
      <c r="F9" s="22" t="s">
        <v>4</v>
      </c>
      <c r="G9" s="13" t="s">
        <v>0</v>
      </c>
      <c r="H9" s="12" t="s">
        <v>245</v>
      </c>
      <c r="I9" s="11">
        <v>2000</v>
      </c>
      <c r="J9" s="10"/>
      <c r="K9" s="9">
        <v>2000</v>
      </c>
      <c r="L9" s="8">
        <f t="shared" si="0"/>
        <v>0</v>
      </c>
    </row>
    <row r="10" spans="1:12" ht="150.75" customHeight="1" thickBot="1" x14ac:dyDescent="0.3">
      <c r="A10" s="47"/>
      <c r="B10" s="24" t="s">
        <v>32</v>
      </c>
      <c r="C10" s="12" t="s">
        <v>31</v>
      </c>
      <c r="D10" s="12" t="s">
        <v>24</v>
      </c>
      <c r="E10" s="13" t="s">
        <v>154</v>
      </c>
      <c r="F10" s="22" t="s">
        <v>4</v>
      </c>
      <c r="G10" s="13" t="s">
        <v>0</v>
      </c>
      <c r="H10" s="12" t="s">
        <v>245</v>
      </c>
      <c r="I10" s="11">
        <v>961</v>
      </c>
      <c r="J10" s="10"/>
      <c r="K10" s="9">
        <v>961</v>
      </c>
      <c r="L10" s="8">
        <f t="shared" si="0"/>
        <v>0</v>
      </c>
    </row>
    <row r="11" spans="1:12" ht="150.75" customHeight="1" thickBot="1" x14ac:dyDescent="0.3">
      <c r="A11" s="47"/>
      <c r="B11" s="24" t="s">
        <v>32</v>
      </c>
      <c r="C11" s="12" t="s">
        <v>31</v>
      </c>
      <c r="D11" s="12" t="s">
        <v>24</v>
      </c>
      <c r="E11" s="13" t="s">
        <v>248</v>
      </c>
      <c r="F11" s="22" t="s">
        <v>4</v>
      </c>
      <c r="G11" s="13" t="s">
        <v>0</v>
      </c>
      <c r="H11" s="12" t="s">
        <v>245</v>
      </c>
      <c r="I11" s="11">
        <v>360</v>
      </c>
      <c r="J11" s="10"/>
      <c r="K11" s="9">
        <v>360</v>
      </c>
      <c r="L11" s="8">
        <f t="shared" si="0"/>
        <v>0</v>
      </c>
    </row>
    <row r="12" spans="1:12" ht="150.75" customHeight="1" thickBot="1" x14ac:dyDescent="0.3">
      <c r="A12" s="47"/>
      <c r="B12" s="24" t="s">
        <v>32</v>
      </c>
      <c r="C12" s="12" t="s">
        <v>31</v>
      </c>
      <c r="D12" s="12" t="s">
        <v>24</v>
      </c>
      <c r="E12" s="13" t="s">
        <v>116</v>
      </c>
      <c r="F12" s="22" t="s">
        <v>9</v>
      </c>
      <c r="G12" s="13" t="s">
        <v>0</v>
      </c>
      <c r="H12" s="12" t="s">
        <v>245</v>
      </c>
      <c r="I12" s="11">
        <v>2000</v>
      </c>
      <c r="J12" s="10"/>
      <c r="K12" s="9">
        <v>2000</v>
      </c>
      <c r="L12" s="8">
        <f t="shared" si="0"/>
        <v>0</v>
      </c>
    </row>
    <row r="13" spans="1:12" ht="150.75" customHeight="1" thickBot="1" x14ac:dyDescent="0.3">
      <c r="A13" s="47"/>
      <c r="B13" s="24" t="s">
        <v>77</v>
      </c>
      <c r="C13" s="12" t="s">
        <v>27</v>
      </c>
      <c r="D13" s="12" t="s">
        <v>24</v>
      </c>
      <c r="E13" s="13" t="s">
        <v>76</v>
      </c>
      <c r="F13" s="22" t="s">
        <v>4</v>
      </c>
      <c r="G13" s="13" t="s">
        <v>8</v>
      </c>
      <c r="H13" s="12" t="s">
        <v>79</v>
      </c>
      <c r="I13" s="11">
        <v>50</v>
      </c>
      <c r="J13" s="10"/>
      <c r="K13" s="9">
        <v>50</v>
      </c>
      <c r="L13" s="8">
        <f t="shared" si="0"/>
        <v>0</v>
      </c>
    </row>
    <row r="14" spans="1:12" ht="150.75" customHeight="1" thickBot="1" x14ac:dyDescent="0.3">
      <c r="A14" s="47"/>
      <c r="B14" s="24" t="s">
        <v>157</v>
      </c>
      <c r="C14" s="12" t="s">
        <v>26</v>
      </c>
      <c r="D14" s="12" t="s">
        <v>24</v>
      </c>
      <c r="E14" s="13" t="s">
        <v>25</v>
      </c>
      <c r="F14" s="22" t="s">
        <v>4</v>
      </c>
      <c r="G14" s="13" t="s">
        <v>0</v>
      </c>
      <c r="H14" s="12" t="s">
        <v>245</v>
      </c>
      <c r="I14" s="11">
        <v>911</v>
      </c>
      <c r="J14" s="10"/>
      <c r="K14" s="9">
        <v>911</v>
      </c>
      <c r="L14" s="8">
        <f t="shared" si="0"/>
        <v>0</v>
      </c>
    </row>
    <row r="15" spans="1:12" ht="150.75" customHeight="1" thickBot="1" x14ac:dyDescent="0.3">
      <c r="A15" s="48"/>
      <c r="B15" s="24" t="s">
        <v>157</v>
      </c>
      <c r="C15" s="12" t="s">
        <v>26</v>
      </c>
      <c r="D15" s="12" t="s">
        <v>24</v>
      </c>
      <c r="E15" s="13" t="s">
        <v>59</v>
      </c>
      <c r="F15" s="22" t="s">
        <v>4</v>
      </c>
      <c r="G15" s="13" t="s">
        <v>0</v>
      </c>
      <c r="H15" s="12" t="s">
        <v>245</v>
      </c>
      <c r="I15" s="11">
        <v>1008</v>
      </c>
      <c r="J15" s="10"/>
      <c r="K15" s="9">
        <v>1008</v>
      </c>
      <c r="L15" s="8">
        <f t="shared" si="0"/>
        <v>0</v>
      </c>
    </row>
    <row r="16" spans="1:12" ht="150.75" customHeight="1" thickBot="1" x14ac:dyDescent="0.3">
      <c r="A16" s="36" t="s">
        <v>23</v>
      </c>
      <c r="B16" s="24" t="s">
        <v>21</v>
      </c>
      <c r="C16" s="12" t="s">
        <v>3</v>
      </c>
      <c r="D16" s="12" t="s">
        <v>20</v>
      </c>
      <c r="E16" s="13" t="s">
        <v>56</v>
      </c>
      <c r="F16" s="22" t="s">
        <v>9</v>
      </c>
      <c r="G16" s="13" t="s">
        <v>0</v>
      </c>
      <c r="H16" s="12" t="s">
        <v>282</v>
      </c>
      <c r="I16" s="11">
        <v>5000</v>
      </c>
      <c r="J16" s="10"/>
      <c r="K16" s="9">
        <v>5000</v>
      </c>
      <c r="L16" s="8">
        <f t="shared" si="0"/>
        <v>0</v>
      </c>
    </row>
    <row r="17" spans="1:12" ht="150.75" customHeight="1" thickBot="1" x14ac:dyDescent="0.3">
      <c r="A17" s="36" t="s">
        <v>19</v>
      </c>
      <c r="B17" s="24" t="s">
        <v>12</v>
      </c>
      <c r="C17" s="12" t="s">
        <v>3</v>
      </c>
      <c r="D17" s="12" t="s">
        <v>11</v>
      </c>
      <c r="E17" s="13" t="s">
        <v>10</v>
      </c>
      <c r="F17" s="22" t="s">
        <v>4</v>
      </c>
      <c r="G17" s="13" t="s">
        <v>0</v>
      </c>
      <c r="H17" s="12" t="s">
        <v>245</v>
      </c>
      <c r="I17" s="11">
        <v>7512</v>
      </c>
      <c r="J17" s="10"/>
      <c r="K17" s="9">
        <v>7512</v>
      </c>
      <c r="L17" s="8">
        <f t="shared" si="0"/>
        <v>0</v>
      </c>
    </row>
  </sheetData>
  <autoFilter ref="A2:L16"/>
  <dataConsolidate/>
  <mergeCells count="3">
    <mergeCell ref="A8:A15"/>
    <mergeCell ref="A1:L1"/>
    <mergeCell ref="A3:A7"/>
  </mergeCells>
  <conditionalFormatting sqref="I2:I15 K3:L15">
    <cfRule type="cellIs" dxfId="123" priority="3" operator="lessThan">
      <formula>0</formula>
    </cfRule>
  </conditionalFormatting>
  <conditionalFormatting sqref="L2">
    <cfRule type="cellIs" dxfId="122" priority="2" operator="lessThan">
      <formula>0</formula>
    </cfRule>
  </conditionalFormatting>
  <conditionalFormatting sqref="I16:I17 K16:L17">
    <cfRule type="cellIs" dxfId="121" priority="1" operator="lessThan">
      <formula>0</formula>
    </cfRule>
  </conditionalFormatting>
  <printOptions horizontalCentered="1"/>
  <pageMargins left="0" right="0" top="0" bottom="0" header="0" footer="0"/>
  <pageSetup paperSize="9" scale="11" fitToHeight="0" orientation="portrait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4"/>
  <sheetViews>
    <sheetView showGridLines="0" view="pageBreakPreview" topLeftCell="C38" zoomScale="20" zoomScaleNormal="27" zoomScaleSheetLayoutView="20" workbookViewId="0">
      <selection activeCell="K42" sqref="K42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210.285156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289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136</v>
      </c>
      <c r="C3" s="12" t="s">
        <v>3</v>
      </c>
      <c r="D3" s="12" t="s">
        <v>126</v>
      </c>
      <c r="E3" s="13" t="s">
        <v>153</v>
      </c>
      <c r="F3" s="22" t="s">
        <v>122</v>
      </c>
      <c r="G3" s="13" t="s">
        <v>0</v>
      </c>
      <c r="H3" s="12" t="s">
        <v>282</v>
      </c>
      <c r="I3" s="11">
        <v>5000</v>
      </c>
      <c r="J3" s="10">
        <v>1000</v>
      </c>
      <c r="K3" s="9">
        <v>4000</v>
      </c>
      <c r="L3" s="8">
        <f t="shared" ref="L3:L44" si="0">K3+J3-I3</f>
        <v>0</v>
      </c>
    </row>
    <row r="4" spans="1:12" ht="150.75" customHeight="1" thickBot="1" x14ac:dyDescent="0.3">
      <c r="A4" s="47"/>
      <c r="B4" s="13" t="s">
        <v>157</v>
      </c>
      <c r="C4" s="12" t="s">
        <v>26</v>
      </c>
      <c r="D4" s="12" t="s">
        <v>24</v>
      </c>
      <c r="E4" s="13" t="s">
        <v>25</v>
      </c>
      <c r="F4" s="22" t="s">
        <v>4</v>
      </c>
      <c r="G4" s="13" t="s">
        <v>0</v>
      </c>
      <c r="H4" s="12" t="s">
        <v>245</v>
      </c>
      <c r="I4" s="11">
        <v>911</v>
      </c>
      <c r="J4" s="10"/>
      <c r="K4" s="9">
        <v>911</v>
      </c>
      <c r="L4" s="8">
        <f t="shared" si="0"/>
        <v>0</v>
      </c>
    </row>
    <row r="5" spans="1:12" ht="150.75" customHeight="1" thickBot="1" x14ac:dyDescent="0.3">
      <c r="A5" s="47"/>
      <c r="B5" s="13" t="s">
        <v>157</v>
      </c>
      <c r="C5" s="12" t="s">
        <v>26</v>
      </c>
      <c r="D5" s="12" t="s">
        <v>24</v>
      </c>
      <c r="E5" s="13" t="s">
        <v>25</v>
      </c>
      <c r="F5" s="22" t="s">
        <v>4</v>
      </c>
      <c r="G5" s="13" t="s">
        <v>0</v>
      </c>
      <c r="H5" s="12" t="s">
        <v>282</v>
      </c>
      <c r="I5" s="11">
        <v>1000</v>
      </c>
      <c r="J5" s="10"/>
      <c r="K5" s="9">
        <v>1000</v>
      </c>
      <c r="L5" s="8">
        <f t="shared" si="0"/>
        <v>0</v>
      </c>
    </row>
    <row r="6" spans="1:12" ht="150.75" customHeight="1" thickBot="1" x14ac:dyDescent="0.3">
      <c r="A6" s="47"/>
      <c r="B6" s="13" t="s">
        <v>28</v>
      </c>
      <c r="C6" s="12" t="s">
        <v>155</v>
      </c>
      <c r="D6" s="12" t="s">
        <v>24</v>
      </c>
      <c r="E6" s="13" t="s">
        <v>156</v>
      </c>
      <c r="F6" s="22" t="s">
        <v>4</v>
      </c>
      <c r="G6" s="13" t="s">
        <v>0</v>
      </c>
      <c r="H6" s="12" t="s">
        <v>245</v>
      </c>
      <c r="I6" s="11">
        <v>1510</v>
      </c>
      <c r="J6" s="10"/>
      <c r="K6" s="9">
        <v>1510</v>
      </c>
      <c r="L6" s="8">
        <f t="shared" si="0"/>
        <v>0</v>
      </c>
    </row>
    <row r="7" spans="1:12" ht="150.75" customHeight="1" thickBot="1" x14ac:dyDescent="0.3">
      <c r="A7" s="47"/>
      <c r="B7" s="13" t="s">
        <v>35</v>
      </c>
      <c r="C7" s="12" t="s">
        <v>34</v>
      </c>
      <c r="D7" s="12" t="s">
        <v>24</v>
      </c>
      <c r="E7" s="13" t="s">
        <v>33</v>
      </c>
      <c r="F7" s="22" t="s">
        <v>4</v>
      </c>
      <c r="G7" s="13" t="s">
        <v>0</v>
      </c>
      <c r="H7" s="12" t="s">
        <v>245</v>
      </c>
      <c r="I7" s="11">
        <v>1214</v>
      </c>
      <c r="J7" s="10"/>
      <c r="K7" s="9">
        <v>1214</v>
      </c>
      <c r="L7" s="8">
        <f t="shared" si="0"/>
        <v>0</v>
      </c>
    </row>
    <row r="8" spans="1:12" ht="150.75" customHeight="1" thickBot="1" x14ac:dyDescent="0.3">
      <c r="A8" s="47"/>
      <c r="B8" s="13" t="s">
        <v>66</v>
      </c>
      <c r="C8" s="12" t="s">
        <v>62</v>
      </c>
      <c r="D8" s="12" t="s">
        <v>24</v>
      </c>
      <c r="E8" s="13" t="s">
        <v>63</v>
      </c>
      <c r="F8" s="22" t="s">
        <v>4</v>
      </c>
      <c r="G8" s="13" t="s">
        <v>0</v>
      </c>
      <c r="H8" s="12" t="s">
        <v>245</v>
      </c>
      <c r="I8" s="11">
        <v>1448</v>
      </c>
      <c r="J8" s="10"/>
      <c r="K8" s="9">
        <v>1448</v>
      </c>
      <c r="L8" s="8">
        <f t="shared" si="0"/>
        <v>0</v>
      </c>
    </row>
    <row r="9" spans="1:12" ht="150.75" customHeight="1" thickBot="1" x14ac:dyDescent="0.3">
      <c r="A9" s="47"/>
      <c r="B9" s="13" t="s">
        <v>38</v>
      </c>
      <c r="C9" s="12" t="s">
        <v>15</v>
      </c>
      <c r="D9" s="12" t="s">
        <v>24</v>
      </c>
      <c r="E9" s="13" t="s">
        <v>96</v>
      </c>
      <c r="F9" s="22" t="s">
        <v>4</v>
      </c>
      <c r="G9" s="13" t="s">
        <v>0</v>
      </c>
      <c r="H9" s="12" t="s">
        <v>245</v>
      </c>
      <c r="I9" s="11">
        <v>2222</v>
      </c>
      <c r="J9" s="10">
        <v>1000</v>
      </c>
      <c r="K9" s="9">
        <v>1222</v>
      </c>
      <c r="L9" s="8">
        <f t="shared" si="0"/>
        <v>0</v>
      </c>
    </row>
    <row r="10" spans="1:12" ht="150.75" customHeight="1" thickBot="1" x14ac:dyDescent="0.3">
      <c r="A10" s="47"/>
      <c r="B10" s="24" t="s">
        <v>77</v>
      </c>
      <c r="C10" s="12" t="s">
        <v>27</v>
      </c>
      <c r="D10" s="12" t="s">
        <v>24</v>
      </c>
      <c r="E10" s="13" t="s">
        <v>76</v>
      </c>
      <c r="F10" s="22" t="s">
        <v>4</v>
      </c>
      <c r="G10" s="13" t="s">
        <v>0</v>
      </c>
      <c r="H10" s="12" t="s">
        <v>245</v>
      </c>
      <c r="I10" s="11">
        <v>2150</v>
      </c>
      <c r="J10" s="10"/>
      <c r="K10" s="9">
        <v>2150</v>
      </c>
      <c r="L10" s="8">
        <f t="shared" si="0"/>
        <v>0</v>
      </c>
    </row>
    <row r="11" spans="1:12" ht="150.75" customHeight="1" thickBot="1" x14ac:dyDescent="0.3">
      <c r="A11" s="47"/>
      <c r="B11" s="24" t="s">
        <v>77</v>
      </c>
      <c r="C11" s="12" t="s">
        <v>27</v>
      </c>
      <c r="D11" s="12" t="s">
        <v>24</v>
      </c>
      <c r="E11" s="13" t="s">
        <v>111</v>
      </c>
      <c r="F11" s="22" t="s">
        <v>4</v>
      </c>
      <c r="G11" s="13" t="s">
        <v>0</v>
      </c>
      <c r="H11" s="12" t="s">
        <v>245</v>
      </c>
      <c r="I11" s="11">
        <v>200</v>
      </c>
      <c r="J11" s="10"/>
      <c r="K11" s="9">
        <v>200</v>
      </c>
      <c r="L11" s="8">
        <f t="shared" si="0"/>
        <v>0</v>
      </c>
    </row>
    <row r="12" spans="1:12" ht="150.75" customHeight="1" thickBot="1" x14ac:dyDescent="0.3">
      <c r="A12" s="47"/>
      <c r="B12" s="24" t="s">
        <v>77</v>
      </c>
      <c r="C12" s="12" t="s">
        <v>27</v>
      </c>
      <c r="D12" s="12" t="s">
        <v>24</v>
      </c>
      <c r="E12" s="13" t="s">
        <v>55</v>
      </c>
      <c r="F12" s="22" t="s">
        <v>9</v>
      </c>
      <c r="G12" s="13" t="s">
        <v>0</v>
      </c>
      <c r="H12" s="12" t="s">
        <v>282</v>
      </c>
      <c r="I12" s="11">
        <v>2000</v>
      </c>
      <c r="J12" s="10"/>
      <c r="K12" s="9">
        <v>2000</v>
      </c>
      <c r="L12" s="8">
        <f t="shared" si="0"/>
        <v>0</v>
      </c>
    </row>
    <row r="13" spans="1:12" ht="150.75" customHeight="1" thickBot="1" x14ac:dyDescent="0.3">
      <c r="A13" s="47"/>
      <c r="B13" s="24" t="s">
        <v>112</v>
      </c>
      <c r="C13" s="12" t="s">
        <v>113</v>
      </c>
      <c r="D13" s="22" t="s">
        <v>24</v>
      </c>
      <c r="E13" s="13" t="s">
        <v>283</v>
      </c>
      <c r="F13" s="22" t="s">
        <v>4</v>
      </c>
      <c r="G13" s="13" t="s">
        <v>8</v>
      </c>
      <c r="H13" s="12" t="s">
        <v>245</v>
      </c>
      <c r="I13" s="11">
        <v>100</v>
      </c>
      <c r="J13" s="10">
        <v>100</v>
      </c>
      <c r="K13" s="9"/>
      <c r="L13" s="8">
        <f t="shared" si="0"/>
        <v>0</v>
      </c>
    </row>
    <row r="14" spans="1:12" ht="150.75" customHeight="1" thickBot="1" x14ac:dyDescent="0.3">
      <c r="A14" s="47"/>
      <c r="B14" s="24" t="s">
        <v>112</v>
      </c>
      <c r="C14" s="12" t="s">
        <v>113</v>
      </c>
      <c r="D14" s="22" t="s">
        <v>24</v>
      </c>
      <c r="E14" s="13" t="s">
        <v>273</v>
      </c>
      <c r="F14" s="22" t="s">
        <v>4</v>
      </c>
      <c r="G14" s="13" t="s">
        <v>8</v>
      </c>
      <c r="H14" s="12" t="s">
        <v>245</v>
      </c>
      <c r="I14" s="11">
        <v>20</v>
      </c>
      <c r="J14" s="10">
        <v>20</v>
      </c>
      <c r="K14" s="9"/>
      <c r="L14" s="8">
        <f t="shared" si="0"/>
        <v>0</v>
      </c>
    </row>
    <row r="15" spans="1:12" ht="150.75" customHeight="1" thickBot="1" x14ac:dyDescent="0.3">
      <c r="A15" s="47"/>
      <c r="B15" s="24" t="s">
        <v>32</v>
      </c>
      <c r="C15" s="12" t="s">
        <v>31</v>
      </c>
      <c r="D15" s="12" t="s">
        <v>24</v>
      </c>
      <c r="E15" s="13" t="s">
        <v>70</v>
      </c>
      <c r="F15" s="22" t="s">
        <v>4</v>
      </c>
      <c r="G15" s="13" t="s">
        <v>0</v>
      </c>
      <c r="H15" s="12" t="s">
        <v>245</v>
      </c>
      <c r="I15" s="11">
        <v>2239</v>
      </c>
      <c r="J15" s="10"/>
      <c r="K15" s="9">
        <v>2239</v>
      </c>
      <c r="L15" s="8">
        <f t="shared" si="0"/>
        <v>0</v>
      </c>
    </row>
    <row r="16" spans="1:12" ht="150.75" customHeight="1" thickBot="1" x14ac:dyDescent="0.3">
      <c r="A16" s="48"/>
      <c r="B16" s="24" t="s">
        <v>28</v>
      </c>
      <c r="C16" s="12" t="s">
        <v>155</v>
      </c>
      <c r="D16" s="12" t="s">
        <v>24</v>
      </c>
      <c r="E16" s="13" t="s">
        <v>156</v>
      </c>
      <c r="F16" s="22" t="s">
        <v>4</v>
      </c>
      <c r="G16" s="13" t="s">
        <v>0</v>
      </c>
      <c r="H16" s="12" t="s">
        <v>245</v>
      </c>
      <c r="I16" s="11">
        <v>1000</v>
      </c>
      <c r="J16" s="10"/>
      <c r="K16" s="9">
        <v>1000</v>
      </c>
      <c r="L16" s="8">
        <f t="shared" si="0"/>
        <v>0</v>
      </c>
    </row>
    <row r="17" spans="1:12" ht="150.75" customHeight="1" thickBot="1" x14ac:dyDescent="0.3">
      <c r="A17" s="46" t="s">
        <v>36</v>
      </c>
      <c r="B17" s="24" t="s">
        <v>239</v>
      </c>
      <c r="C17" s="12" t="s">
        <v>163</v>
      </c>
      <c r="D17" s="12" t="s">
        <v>24</v>
      </c>
      <c r="E17" s="13" t="s">
        <v>290</v>
      </c>
      <c r="F17" s="22" t="s">
        <v>102</v>
      </c>
      <c r="G17" s="13" t="s">
        <v>37</v>
      </c>
      <c r="H17" s="12" t="s">
        <v>181</v>
      </c>
      <c r="I17" s="11">
        <v>222</v>
      </c>
      <c r="J17" s="10"/>
      <c r="K17" s="9">
        <v>222</v>
      </c>
      <c r="L17" s="8">
        <f t="shared" si="0"/>
        <v>0</v>
      </c>
    </row>
    <row r="18" spans="1:12" ht="150.75" customHeight="1" thickBot="1" x14ac:dyDescent="0.3">
      <c r="A18" s="47"/>
      <c r="B18" s="24" t="s">
        <v>239</v>
      </c>
      <c r="C18" s="12" t="s">
        <v>163</v>
      </c>
      <c r="D18" s="12" t="s">
        <v>24</v>
      </c>
      <c r="E18" s="13" t="s">
        <v>252</v>
      </c>
      <c r="F18" s="22" t="s">
        <v>102</v>
      </c>
      <c r="G18" s="13" t="s">
        <v>37</v>
      </c>
      <c r="H18" s="12" t="s">
        <v>181</v>
      </c>
      <c r="I18" s="11">
        <v>1000</v>
      </c>
      <c r="J18" s="10"/>
      <c r="K18" s="9">
        <v>1000</v>
      </c>
      <c r="L18" s="8">
        <f t="shared" si="0"/>
        <v>0</v>
      </c>
    </row>
    <row r="19" spans="1:12" ht="150.75" customHeight="1" thickBot="1" x14ac:dyDescent="0.3">
      <c r="A19" s="47"/>
      <c r="B19" s="24" t="s">
        <v>66</v>
      </c>
      <c r="C19" s="12" t="s">
        <v>62</v>
      </c>
      <c r="D19" s="12" t="s">
        <v>24</v>
      </c>
      <c r="E19" s="13" t="s">
        <v>63</v>
      </c>
      <c r="F19" s="22" t="s">
        <v>4</v>
      </c>
      <c r="G19" s="13" t="s">
        <v>0</v>
      </c>
      <c r="H19" s="12" t="s">
        <v>245</v>
      </c>
      <c r="I19" s="11">
        <v>1448</v>
      </c>
      <c r="J19" s="10"/>
      <c r="K19" s="9">
        <v>1448</v>
      </c>
      <c r="L19" s="8">
        <f t="shared" si="0"/>
        <v>0</v>
      </c>
    </row>
    <row r="20" spans="1:12" ht="150.75" customHeight="1" thickBot="1" x14ac:dyDescent="0.3">
      <c r="A20" s="47"/>
      <c r="B20" s="24" t="s">
        <v>35</v>
      </c>
      <c r="C20" s="12" t="s">
        <v>34</v>
      </c>
      <c r="D20" s="12" t="s">
        <v>24</v>
      </c>
      <c r="E20" s="13" t="s">
        <v>33</v>
      </c>
      <c r="F20" s="22" t="s">
        <v>4</v>
      </c>
      <c r="G20" s="13" t="s">
        <v>0</v>
      </c>
      <c r="H20" s="12" t="s">
        <v>245</v>
      </c>
      <c r="I20" s="11">
        <v>1214</v>
      </c>
      <c r="J20" s="10"/>
      <c r="K20" s="9">
        <v>1214</v>
      </c>
      <c r="L20" s="8">
        <f t="shared" si="0"/>
        <v>0</v>
      </c>
    </row>
    <row r="21" spans="1:12" ht="150.75" customHeight="1" thickBot="1" x14ac:dyDescent="0.3">
      <c r="A21" s="47"/>
      <c r="B21" s="24" t="s">
        <v>61</v>
      </c>
      <c r="C21" s="12" t="s">
        <v>31</v>
      </c>
      <c r="D21" s="12" t="s">
        <v>24</v>
      </c>
      <c r="E21" s="13" t="s">
        <v>70</v>
      </c>
      <c r="F21" s="22" t="s">
        <v>4</v>
      </c>
      <c r="G21" s="13" t="s">
        <v>0</v>
      </c>
      <c r="H21" s="12" t="s">
        <v>245</v>
      </c>
      <c r="I21" s="11">
        <v>2239</v>
      </c>
      <c r="J21" s="10"/>
      <c r="K21" s="9">
        <v>2239</v>
      </c>
      <c r="L21" s="8">
        <f t="shared" si="0"/>
        <v>0</v>
      </c>
    </row>
    <row r="22" spans="1:12" ht="150.75" customHeight="1" thickBot="1" x14ac:dyDescent="0.3">
      <c r="A22" s="47"/>
      <c r="B22" s="24" t="s">
        <v>38</v>
      </c>
      <c r="C22" s="12" t="s">
        <v>15</v>
      </c>
      <c r="D22" s="12" t="s">
        <v>24</v>
      </c>
      <c r="E22" s="13" t="s">
        <v>96</v>
      </c>
      <c r="F22" s="22" t="s">
        <v>4</v>
      </c>
      <c r="G22" s="13" t="s">
        <v>0</v>
      </c>
      <c r="H22" s="12" t="s">
        <v>245</v>
      </c>
      <c r="I22" s="11">
        <v>2222</v>
      </c>
      <c r="J22" s="10">
        <v>1000</v>
      </c>
      <c r="K22" s="9">
        <v>1222</v>
      </c>
      <c r="L22" s="8">
        <f t="shared" si="0"/>
        <v>0</v>
      </c>
    </row>
    <row r="23" spans="1:12" ht="150.75" customHeight="1" thickBot="1" x14ac:dyDescent="0.3">
      <c r="A23" s="47"/>
      <c r="B23" s="24" t="s">
        <v>28</v>
      </c>
      <c r="C23" s="12" t="s">
        <v>155</v>
      </c>
      <c r="D23" s="12" t="s">
        <v>24</v>
      </c>
      <c r="E23" s="13" t="s">
        <v>156</v>
      </c>
      <c r="F23" s="22" t="s">
        <v>4</v>
      </c>
      <c r="G23" s="13" t="s">
        <v>0</v>
      </c>
      <c r="H23" s="12" t="s">
        <v>245</v>
      </c>
      <c r="I23" s="11">
        <v>1000</v>
      </c>
      <c r="J23" s="10"/>
      <c r="K23" s="9">
        <v>1000</v>
      </c>
      <c r="L23" s="8">
        <f t="shared" si="0"/>
        <v>0</v>
      </c>
    </row>
    <row r="24" spans="1:12" ht="150.75" customHeight="1" thickBot="1" x14ac:dyDescent="0.3">
      <c r="A24" s="47"/>
      <c r="B24" s="24" t="s">
        <v>66</v>
      </c>
      <c r="C24" s="12" t="s">
        <v>62</v>
      </c>
      <c r="D24" s="12" t="s">
        <v>24</v>
      </c>
      <c r="E24" s="13" t="s">
        <v>63</v>
      </c>
      <c r="F24" s="22" t="s">
        <v>4</v>
      </c>
      <c r="G24" s="13" t="s">
        <v>0</v>
      </c>
      <c r="H24" s="12" t="s">
        <v>245</v>
      </c>
      <c r="I24" s="11">
        <v>1000</v>
      </c>
      <c r="J24" s="10"/>
      <c r="K24" s="9">
        <v>1000</v>
      </c>
      <c r="L24" s="8">
        <f t="shared" si="0"/>
        <v>0</v>
      </c>
    </row>
    <row r="25" spans="1:12" ht="150.75" customHeight="1" thickBot="1" x14ac:dyDescent="0.3">
      <c r="A25" s="47"/>
      <c r="B25" s="24" t="s">
        <v>77</v>
      </c>
      <c r="C25" s="12" t="s">
        <v>27</v>
      </c>
      <c r="D25" s="12" t="s">
        <v>24</v>
      </c>
      <c r="E25" s="13" t="s">
        <v>76</v>
      </c>
      <c r="F25" s="22" t="s">
        <v>4</v>
      </c>
      <c r="G25" s="13" t="s">
        <v>0</v>
      </c>
      <c r="H25" s="12" t="s">
        <v>245</v>
      </c>
      <c r="I25" s="11">
        <v>3650</v>
      </c>
      <c r="J25" s="10">
        <v>1000</v>
      </c>
      <c r="K25" s="9">
        <v>2650</v>
      </c>
      <c r="L25" s="8">
        <f t="shared" si="0"/>
        <v>0</v>
      </c>
    </row>
    <row r="26" spans="1:12" ht="150.75" customHeight="1" thickBot="1" x14ac:dyDescent="0.3">
      <c r="A26" s="47"/>
      <c r="B26" s="24" t="s">
        <v>61</v>
      </c>
      <c r="C26" s="12" t="s">
        <v>31</v>
      </c>
      <c r="D26" s="12" t="s">
        <v>24</v>
      </c>
      <c r="E26" s="13" t="s">
        <v>70</v>
      </c>
      <c r="F26" s="22" t="s">
        <v>4</v>
      </c>
      <c r="G26" s="13" t="s">
        <v>0</v>
      </c>
      <c r="H26" s="12" t="s">
        <v>245</v>
      </c>
      <c r="I26" s="11">
        <v>1500</v>
      </c>
      <c r="J26" s="10"/>
      <c r="K26" s="9">
        <v>1500</v>
      </c>
      <c r="L26" s="8">
        <f t="shared" si="0"/>
        <v>0</v>
      </c>
    </row>
    <row r="27" spans="1:12" ht="150.75" customHeight="1" thickBot="1" x14ac:dyDescent="0.3">
      <c r="A27" s="47"/>
      <c r="B27" s="24" t="s">
        <v>157</v>
      </c>
      <c r="C27" s="12" t="s">
        <v>26</v>
      </c>
      <c r="D27" s="12" t="s">
        <v>24</v>
      </c>
      <c r="E27" s="13" t="s">
        <v>25</v>
      </c>
      <c r="F27" s="22" t="s">
        <v>4</v>
      </c>
      <c r="G27" s="13" t="s">
        <v>0</v>
      </c>
      <c r="H27" s="12" t="s">
        <v>245</v>
      </c>
      <c r="I27" s="11">
        <v>1000</v>
      </c>
      <c r="J27" s="10">
        <v>1000</v>
      </c>
      <c r="K27" s="9"/>
      <c r="L27" s="8">
        <f t="shared" si="0"/>
        <v>0</v>
      </c>
    </row>
    <row r="28" spans="1:12" ht="150.75" customHeight="1" thickBot="1" x14ac:dyDescent="0.3">
      <c r="A28" s="47"/>
      <c r="B28" s="24" t="s">
        <v>112</v>
      </c>
      <c r="C28" s="12" t="s">
        <v>113</v>
      </c>
      <c r="D28" s="12" t="s">
        <v>24</v>
      </c>
      <c r="E28" s="13" t="s">
        <v>283</v>
      </c>
      <c r="F28" s="22" t="s">
        <v>4</v>
      </c>
      <c r="G28" s="13" t="s">
        <v>8</v>
      </c>
      <c r="H28" s="12" t="s">
        <v>245</v>
      </c>
      <c r="I28" s="11">
        <v>100</v>
      </c>
      <c r="J28" s="10"/>
      <c r="K28" s="9">
        <v>100</v>
      </c>
      <c r="L28" s="8">
        <f t="shared" si="0"/>
        <v>0</v>
      </c>
    </row>
    <row r="29" spans="1:12" ht="150.75" customHeight="1" thickBot="1" x14ac:dyDescent="0.3">
      <c r="A29" s="47"/>
      <c r="B29" s="24" t="s">
        <v>112</v>
      </c>
      <c r="C29" s="12" t="s">
        <v>113</v>
      </c>
      <c r="D29" s="12" t="s">
        <v>24</v>
      </c>
      <c r="E29" s="13" t="s">
        <v>283</v>
      </c>
      <c r="F29" s="22" t="s">
        <v>4</v>
      </c>
      <c r="G29" s="13" t="s">
        <v>0</v>
      </c>
      <c r="H29" s="12" t="s">
        <v>245</v>
      </c>
      <c r="I29" s="11">
        <v>1000</v>
      </c>
      <c r="J29" s="10"/>
      <c r="K29" s="9">
        <v>1000</v>
      </c>
      <c r="L29" s="8">
        <f t="shared" si="0"/>
        <v>0</v>
      </c>
    </row>
    <row r="30" spans="1:12" ht="150.75" customHeight="1" thickBot="1" x14ac:dyDescent="0.3">
      <c r="A30" s="47"/>
      <c r="B30" s="24" t="s">
        <v>112</v>
      </c>
      <c r="C30" s="12" t="s">
        <v>113</v>
      </c>
      <c r="D30" s="12" t="s">
        <v>24</v>
      </c>
      <c r="E30" s="13" t="s">
        <v>273</v>
      </c>
      <c r="F30" s="22" t="s">
        <v>4</v>
      </c>
      <c r="G30" s="13" t="s">
        <v>8</v>
      </c>
      <c r="H30" s="12" t="s">
        <v>245</v>
      </c>
      <c r="I30" s="11">
        <v>20</v>
      </c>
      <c r="J30" s="10"/>
      <c r="K30" s="9">
        <v>20</v>
      </c>
      <c r="L30" s="8">
        <f t="shared" si="0"/>
        <v>0</v>
      </c>
    </row>
    <row r="31" spans="1:12" ht="150.75" customHeight="1" thickBot="1" x14ac:dyDescent="0.3">
      <c r="A31" s="47"/>
      <c r="B31" s="24" t="s">
        <v>112</v>
      </c>
      <c r="C31" s="12" t="s">
        <v>113</v>
      </c>
      <c r="D31" s="12" t="s">
        <v>24</v>
      </c>
      <c r="E31" s="13" t="s">
        <v>273</v>
      </c>
      <c r="F31" s="22" t="s">
        <v>4</v>
      </c>
      <c r="G31" s="13" t="s">
        <v>0</v>
      </c>
      <c r="H31" s="12" t="s">
        <v>245</v>
      </c>
      <c r="I31" s="11">
        <v>478</v>
      </c>
      <c r="J31" s="10"/>
      <c r="K31" s="9">
        <v>478</v>
      </c>
      <c r="L31" s="8">
        <f t="shared" si="0"/>
        <v>0</v>
      </c>
    </row>
    <row r="32" spans="1:12" ht="150.75" customHeight="1" thickBot="1" x14ac:dyDescent="0.3">
      <c r="A32" s="48"/>
      <c r="B32" s="24" t="s">
        <v>112</v>
      </c>
      <c r="C32" s="12" t="s">
        <v>113</v>
      </c>
      <c r="D32" s="12" t="s">
        <v>24</v>
      </c>
      <c r="E32" s="13" t="s">
        <v>283</v>
      </c>
      <c r="F32" s="22" t="s">
        <v>4</v>
      </c>
      <c r="G32" s="13" t="s">
        <v>0</v>
      </c>
      <c r="H32" s="12" t="s">
        <v>245</v>
      </c>
      <c r="I32" s="11">
        <v>1609</v>
      </c>
      <c r="J32" s="10">
        <v>1000</v>
      </c>
      <c r="K32" s="9">
        <v>609</v>
      </c>
      <c r="L32" s="8">
        <f t="shared" si="0"/>
        <v>0</v>
      </c>
    </row>
    <row r="33" spans="1:12" ht="150.75" customHeight="1" thickBot="1" x14ac:dyDescent="0.3">
      <c r="A33" s="46" t="s">
        <v>291</v>
      </c>
      <c r="B33" s="24" t="s">
        <v>12</v>
      </c>
      <c r="C33" s="12" t="s">
        <v>6</v>
      </c>
      <c r="D33" s="12" t="s">
        <v>20</v>
      </c>
      <c r="E33" s="13" t="s">
        <v>22</v>
      </c>
      <c r="F33" s="22" t="s">
        <v>4</v>
      </c>
      <c r="G33" s="13" t="s">
        <v>0</v>
      </c>
      <c r="H33" s="12" t="s">
        <v>245</v>
      </c>
      <c r="I33" s="11">
        <v>4921</v>
      </c>
      <c r="J33" s="10">
        <v>1000</v>
      </c>
      <c r="K33" s="9">
        <v>3921</v>
      </c>
      <c r="L33" s="8">
        <f t="shared" si="0"/>
        <v>0</v>
      </c>
    </row>
    <row r="34" spans="1:12" ht="150.75" customHeight="1" thickBot="1" x14ac:dyDescent="0.3">
      <c r="A34" s="47"/>
      <c r="B34" s="24" t="s">
        <v>21</v>
      </c>
      <c r="C34" s="12" t="s">
        <v>118</v>
      </c>
      <c r="D34" s="12" t="s">
        <v>20</v>
      </c>
      <c r="E34" s="13" t="s">
        <v>222</v>
      </c>
      <c r="F34" s="22" t="s">
        <v>4</v>
      </c>
      <c r="G34" s="13" t="s">
        <v>0</v>
      </c>
      <c r="H34" s="12" t="s">
        <v>245</v>
      </c>
      <c r="I34" s="11">
        <v>2000</v>
      </c>
      <c r="J34" s="10"/>
      <c r="K34" s="9">
        <v>2000</v>
      </c>
      <c r="L34" s="8">
        <f t="shared" si="0"/>
        <v>0</v>
      </c>
    </row>
    <row r="35" spans="1:12" ht="150.75" customHeight="1" thickBot="1" x14ac:dyDescent="0.3">
      <c r="A35" s="47"/>
      <c r="B35" s="24" t="s">
        <v>21</v>
      </c>
      <c r="C35" s="12" t="s">
        <v>118</v>
      </c>
      <c r="D35" s="12" t="s">
        <v>20</v>
      </c>
      <c r="E35" s="13" t="s">
        <v>119</v>
      </c>
      <c r="F35" s="22" t="s">
        <v>4</v>
      </c>
      <c r="G35" s="13" t="s">
        <v>0</v>
      </c>
      <c r="H35" s="12" t="s">
        <v>245</v>
      </c>
      <c r="I35" s="11">
        <v>2471</v>
      </c>
      <c r="J35" s="10">
        <v>1000</v>
      </c>
      <c r="K35" s="9">
        <v>1471</v>
      </c>
      <c r="L35" s="8">
        <f t="shared" si="0"/>
        <v>0</v>
      </c>
    </row>
    <row r="36" spans="1:12" ht="150.75" customHeight="1" thickBot="1" x14ac:dyDescent="0.3">
      <c r="A36" s="48"/>
      <c r="B36" s="24" t="s">
        <v>21</v>
      </c>
      <c r="C36" s="12" t="s">
        <v>3</v>
      </c>
      <c r="D36" s="12" t="s">
        <v>20</v>
      </c>
      <c r="E36" s="13" t="s">
        <v>56</v>
      </c>
      <c r="F36" s="22" t="s">
        <v>9</v>
      </c>
      <c r="G36" s="13" t="s">
        <v>0</v>
      </c>
      <c r="H36" s="12" t="s">
        <v>282</v>
      </c>
      <c r="I36" s="11">
        <v>7000</v>
      </c>
      <c r="J36" s="10"/>
      <c r="K36" s="9">
        <f>3000+4000</f>
        <v>7000</v>
      </c>
      <c r="L36" s="8">
        <f t="shared" si="0"/>
        <v>0</v>
      </c>
    </row>
    <row r="37" spans="1:12" ht="150.75" customHeight="1" thickBot="1" x14ac:dyDescent="0.3">
      <c r="A37" s="46" t="s">
        <v>19</v>
      </c>
      <c r="B37" s="24" t="s">
        <v>18</v>
      </c>
      <c r="C37" s="12" t="s">
        <v>17</v>
      </c>
      <c r="D37" s="12" t="s">
        <v>14</v>
      </c>
      <c r="E37" s="13" t="s">
        <v>16</v>
      </c>
      <c r="F37" s="22" t="s">
        <v>4</v>
      </c>
      <c r="G37" s="13" t="s">
        <v>0</v>
      </c>
      <c r="H37" s="12" t="s">
        <v>245</v>
      </c>
      <c r="I37" s="11">
        <v>1982</v>
      </c>
      <c r="J37" s="10"/>
      <c r="K37" s="9">
        <v>1982</v>
      </c>
      <c r="L37" s="8">
        <f t="shared" si="0"/>
        <v>0</v>
      </c>
    </row>
    <row r="38" spans="1:12" ht="150.75" customHeight="1" thickBot="1" x14ac:dyDescent="0.3">
      <c r="A38" s="47"/>
      <c r="B38" s="24" t="s">
        <v>7</v>
      </c>
      <c r="C38" s="12" t="s">
        <v>15</v>
      </c>
      <c r="D38" s="12" t="s">
        <v>14</v>
      </c>
      <c r="E38" s="13" t="s">
        <v>65</v>
      </c>
      <c r="F38" s="22" t="s">
        <v>4</v>
      </c>
      <c r="G38" s="13" t="s">
        <v>0</v>
      </c>
      <c r="H38" s="12" t="s">
        <v>245</v>
      </c>
      <c r="I38" s="11">
        <v>250</v>
      </c>
      <c r="J38" s="10"/>
      <c r="K38" s="9">
        <v>250</v>
      </c>
      <c r="L38" s="8">
        <f t="shared" si="0"/>
        <v>0</v>
      </c>
    </row>
    <row r="39" spans="1:12" ht="150.75" customHeight="1" thickBot="1" x14ac:dyDescent="0.3">
      <c r="A39" s="47"/>
      <c r="B39" s="24"/>
      <c r="C39" s="12" t="s">
        <v>15</v>
      </c>
      <c r="D39" s="12" t="s">
        <v>14</v>
      </c>
      <c r="E39" s="13" t="s">
        <v>65</v>
      </c>
      <c r="F39" s="22" t="s">
        <v>4</v>
      </c>
      <c r="G39" s="13" t="s">
        <v>0</v>
      </c>
      <c r="H39" s="12" t="s">
        <v>245</v>
      </c>
      <c r="I39" s="11">
        <v>50</v>
      </c>
      <c r="J39" s="10"/>
      <c r="K39" s="9">
        <v>50</v>
      </c>
      <c r="L39" s="8">
        <f t="shared" si="0"/>
        <v>0</v>
      </c>
    </row>
    <row r="40" spans="1:12" ht="150.75" customHeight="1" thickBot="1" x14ac:dyDescent="0.3">
      <c r="A40" s="47"/>
      <c r="B40" s="24" t="s">
        <v>7</v>
      </c>
      <c r="C40" s="12" t="s">
        <v>15</v>
      </c>
      <c r="D40" s="12" t="s">
        <v>14</v>
      </c>
      <c r="E40" s="13" t="s">
        <v>13</v>
      </c>
      <c r="F40" s="22" t="s">
        <v>4</v>
      </c>
      <c r="G40" s="13" t="s">
        <v>0</v>
      </c>
      <c r="H40" s="12" t="s">
        <v>245</v>
      </c>
      <c r="I40" s="11">
        <v>4190</v>
      </c>
      <c r="J40" s="10">
        <v>1000</v>
      </c>
      <c r="K40" s="9">
        <v>3190</v>
      </c>
      <c r="L40" s="8">
        <f t="shared" si="0"/>
        <v>0</v>
      </c>
    </row>
    <row r="41" spans="1:12" ht="150.75" customHeight="1" thickBot="1" x14ac:dyDescent="0.3">
      <c r="A41" s="47"/>
      <c r="B41" s="24" t="s">
        <v>12</v>
      </c>
      <c r="C41" s="12" t="s">
        <v>3</v>
      </c>
      <c r="D41" s="12" t="s">
        <v>11</v>
      </c>
      <c r="E41" s="13" t="s">
        <v>10</v>
      </c>
      <c r="F41" s="22" t="s">
        <v>9</v>
      </c>
      <c r="G41" s="13" t="s">
        <v>0</v>
      </c>
      <c r="H41" s="12" t="s">
        <v>282</v>
      </c>
      <c r="I41" s="11">
        <v>10000</v>
      </c>
      <c r="J41" s="10">
        <v>2000</v>
      </c>
      <c r="K41" s="9">
        <v>8000</v>
      </c>
      <c r="L41" s="8">
        <f t="shared" si="0"/>
        <v>0</v>
      </c>
    </row>
    <row r="42" spans="1:12" ht="150.75" customHeight="1" thickBot="1" x14ac:dyDescent="0.3">
      <c r="A42" s="47"/>
      <c r="B42" s="24"/>
      <c r="C42" s="12" t="s">
        <v>6</v>
      </c>
      <c r="D42" s="12" t="s">
        <v>1</v>
      </c>
      <c r="E42" s="13" t="s">
        <v>5</v>
      </c>
      <c r="F42" s="22" t="s">
        <v>4</v>
      </c>
      <c r="G42" s="13" t="s">
        <v>0</v>
      </c>
      <c r="H42" s="12" t="s">
        <v>245</v>
      </c>
      <c r="I42" s="11">
        <v>3000</v>
      </c>
      <c r="J42" s="10"/>
      <c r="K42" s="9">
        <v>3000</v>
      </c>
      <c r="L42" s="8">
        <f t="shared" si="0"/>
        <v>0</v>
      </c>
    </row>
    <row r="43" spans="1:12" ht="150.75" customHeight="1" thickBot="1" x14ac:dyDescent="0.3">
      <c r="A43" s="47"/>
      <c r="B43" s="24"/>
      <c r="C43" s="12" t="s">
        <v>6</v>
      </c>
      <c r="D43" s="12" t="s">
        <v>1</v>
      </c>
      <c r="E43" s="13" t="s">
        <v>5</v>
      </c>
      <c r="F43" s="22" t="s">
        <v>4</v>
      </c>
      <c r="G43" s="13" t="s">
        <v>0</v>
      </c>
      <c r="H43" s="12" t="s">
        <v>245</v>
      </c>
      <c r="I43" s="11">
        <v>3000</v>
      </c>
      <c r="J43" s="10"/>
      <c r="K43" s="9">
        <v>3000</v>
      </c>
      <c r="L43" s="8">
        <f t="shared" si="0"/>
        <v>0</v>
      </c>
    </row>
    <row r="44" spans="1:12" ht="150.75" customHeight="1" thickBot="1" x14ac:dyDescent="0.3">
      <c r="A44" s="48"/>
      <c r="B44" s="24" t="s">
        <v>7</v>
      </c>
      <c r="C44" s="12" t="s">
        <v>6</v>
      </c>
      <c r="D44" s="12" t="s">
        <v>1</v>
      </c>
      <c r="E44" s="13" t="s">
        <v>5</v>
      </c>
      <c r="F44" s="22" t="s">
        <v>4</v>
      </c>
      <c r="G44" s="13" t="s">
        <v>0</v>
      </c>
      <c r="H44" s="12" t="s">
        <v>245</v>
      </c>
      <c r="I44" s="11">
        <v>4161</v>
      </c>
      <c r="J44" s="10"/>
      <c r="K44" s="9">
        <v>4161</v>
      </c>
      <c r="L44" s="8">
        <f t="shared" si="0"/>
        <v>0</v>
      </c>
    </row>
  </sheetData>
  <autoFilter ref="A2:L44"/>
  <dataConsolidate/>
  <mergeCells count="5">
    <mergeCell ref="A1:L1"/>
    <mergeCell ref="A3:A16"/>
    <mergeCell ref="A17:A32"/>
    <mergeCell ref="A33:A36"/>
    <mergeCell ref="A37:A44"/>
  </mergeCells>
  <conditionalFormatting sqref="I2:I32 K3:L32">
    <cfRule type="cellIs" dxfId="120" priority="3" operator="lessThan">
      <formula>0</formula>
    </cfRule>
  </conditionalFormatting>
  <conditionalFormatting sqref="L2">
    <cfRule type="cellIs" dxfId="119" priority="2" operator="lessThan">
      <formula>0</formula>
    </cfRule>
  </conditionalFormatting>
  <conditionalFormatting sqref="I33:I44 K33:L44">
    <cfRule type="cellIs" dxfId="118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5"/>
  <sheetViews>
    <sheetView showGridLines="0" view="pageBreakPreview" zoomScale="20" zoomScaleNormal="27" zoomScaleSheetLayoutView="20" workbookViewId="0">
      <selection activeCell="E11" sqref="E11:J11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289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157</v>
      </c>
      <c r="C3" s="12" t="s">
        <v>26</v>
      </c>
      <c r="D3" s="12" t="s">
        <v>24</v>
      </c>
      <c r="E3" s="13" t="s">
        <v>25</v>
      </c>
      <c r="F3" s="22" t="s">
        <v>4</v>
      </c>
      <c r="G3" s="13" t="s">
        <v>0</v>
      </c>
      <c r="H3" s="12" t="s">
        <v>282</v>
      </c>
      <c r="I3" s="11">
        <v>370</v>
      </c>
      <c r="J3" s="10"/>
      <c r="K3" s="9">
        <v>370</v>
      </c>
      <c r="L3" s="8">
        <f t="shared" ref="L3:L35" si="0">K3+J3-I3</f>
        <v>0</v>
      </c>
    </row>
    <row r="4" spans="1:12" ht="150.75" customHeight="1" thickBot="1" x14ac:dyDescent="0.3">
      <c r="A4" s="47"/>
      <c r="B4" s="13" t="s">
        <v>35</v>
      </c>
      <c r="C4" s="12" t="s">
        <v>34</v>
      </c>
      <c r="D4" s="12" t="s">
        <v>24</v>
      </c>
      <c r="E4" s="13" t="s">
        <v>33</v>
      </c>
      <c r="F4" s="22" t="s">
        <v>4</v>
      </c>
      <c r="G4" s="13" t="s">
        <v>0</v>
      </c>
      <c r="H4" s="12" t="s">
        <v>282</v>
      </c>
      <c r="I4" s="11">
        <v>1288</v>
      </c>
      <c r="J4" s="10"/>
      <c r="K4" s="9">
        <v>1288</v>
      </c>
      <c r="L4" s="8">
        <f t="shared" si="0"/>
        <v>0</v>
      </c>
    </row>
    <row r="5" spans="1:12" ht="150.75" customHeight="1" thickBot="1" x14ac:dyDescent="0.3">
      <c r="A5" s="47"/>
      <c r="B5" s="13" t="s">
        <v>66</v>
      </c>
      <c r="C5" s="12" t="s">
        <v>62</v>
      </c>
      <c r="D5" s="12" t="s">
        <v>24</v>
      </c>
      <c r="E5" s="13" t="s">
        <v>63</v>
      </c>
      <c r="F5" s="22" t="s">
        <v>4</v>
      </c>
      <c r="G5" s="13" t="s">
        <v>0</v>
      </c>
      <c r="H5" s="12" t="s">
        <v>282</v>
      </c>
      <c r="I5" s="11">
        <v>2500</v>
      </c>
      <c r="J5" s="10"/>
      <c r="K5" s="9">
        <v>2500</v>
      </c>
      <c r="L5" s="8">
        <f t="shared" si="0"/>
        <v>0</v>
      </c>
    </row>
    <row r="6" spans="1:12" ht="150.75" customHeight="1" thickBot="1" x14ac:dyDescent="0.3">
      <c r="A6" s="47"/>
      <c r="B6" s="13" t="s">
        <v>38</v>
      </c>
      <c r="C6" s="12" t="s">
        <v>15</v>
      </c>
      <c r="D6" s="12" t="s">
        <v>24</v>
      </c>
      <c r="E6" s="13" t="s">
        <v>96</v>
      </c>
      <c r="F6" s="22" t="s">
        <v>4</v>
      </c>
      <c r="G6" s="13" t="s">
        <v>0</v>
      </c>
      <c r="H6" s="12" t="s">
        <v>282</v>
      </c>
      <c r="I6" s="11">
        <v>3500</v>
      </c>
      <c r="J6" s="10"/>
      <c r="K6" s="9">
        <f>1200+1300+1000</f>
        <v>3500</v>
      </c>
      <c r="L6" s="8">
        <f t="shared" si="0"/>
        <v>0</v>
      </c>
    </row>
    <row r="7" spans="1:12" ht="150.75" customHeight="1" thickBot="1" x14ac:dyDescent="0.3">
      <c r="A7" s="47"/>
      <c r="B7" s="13" t="s">
        <v>77</v>
      </c>
      <c r="C7" s="12" t="s">
        <v>27</v>
      </c>
      <c r="D7" s="12" t="s">
        <v>24</v>
      </c>
      <c r="E7" s="13" t="s">
        <v>76</v>
      </c>
      <c r="F7" s="22" t="s">
        <v>4</v>
      </c>
      <c r="G7" s="13" t="s">
        <v>8</v>
      </c>
      <c r="H7" s="12" t="s">
        <v>282</v>
      </c>
      <c r="I7" s="11">
        <v>5000</v>
      </c>
      <c r="J7" s="10"/>
      <c r="K7" s="9">
        <f>3600+1400</f>
        <v>5000</v>
      </c>
      <c r="L7" s="8">
        <f t="shared" si="0"/>
        <v>0</v>
      </c>
    </row>
    <row r="8" spans="1:12" ht="150.75" customHeight="1" thickBot="1" x14ac:dyDescent="0.3">
      <c r="A8" s="47"/>
      <c r="B8" s="24" t="s">
        <v>112</v>
      </c>
      <c r="C8" s="12" t="s">
        <v>113</v>
      </c>
      <c r="D8" s="12" t="s">
        <v>24</v>
      </c>
      <c r="E8" s="13" t="s">
        <v>114</v>
      </c>
      <c r="F8" s="22" t="s">
        <v>4</v>
      </c>
      <c r="G8" s="13" t="s">
        <v>0</v>
      </c>
      <c r="H8" s="12" t="s">
        <v>282</v>
      </c>
      <c r="I8" s="11">
        <v>3140</v>
      </c>
      <c r="J8" s="10"/>
      <c r="K8" s="9">
        <f>2500+640</f>
        <v>3140</v>
      </c>
      <c r="L8" s="8">
        <f t="shared" si="0"/>
        <v>0</v>
      </c>
    </row>
    <row r="9" spans="1:12" ht="150.75" customHeight="1" thickBot="1" x14ac:dyDescent="0.3">
      <c r="A9" s="47"/>
      <c r="B9" s="24" t="s">
        <v>112</v>
      </c>
      <c r="C9" s="12" t="s">
        <v>113</v>
      </c>
      <c r="D9" s="12" t="s">
        <v>24</v>
      </c>
      <c r="E9" s="13" t="s">
        <v>292</v>
      </c>
      <c r="F9" s="22" t="s">
        <v>4</v>
      </c>
      <c r="G9" s="13" t="s">
        <v>0</v>
      </c>
      <c r="H9" s="12" t="s">
        <v>282</v>
      </c>
      <c r="I9" s="11">
        <v>570</v>
      </c>
      <c r="J9" s="10"/>
      <c r="K9" s="9">
        <v>570</v>
      </c>
      <c r="L9" s="8">
        <f t="shared" si="0"/>
        <v>0</v>
      </c>
    </row>
    <row r="10" spans="1:12" ht="150.75" customHeight="1" thickBot="1" x14ac:dyDescent="0.3">
      <c r="A10" s="47"/>
      <c r="B10" s="24" t="s">
        <v>32</v>
      </c>
      <c r="C10" s="12" t="s">
        <v>31</v>
      </c>
      <c r="D10" s="12" t="s">
        <v>24</v>
      </c>
      <c r="E10" s="13" t="s">
        <v>116</v>
      </c>
      <c r="F10" s="22" t="s">
        <v>9</v>
      </c>
      <c r="G10" s="13" t="s">
        <v>0</v>
      </c>
      <c r="H10" s="12" t="s">
        <v>282</v>
      </c>
      <c r="I10" s="11">
        <v>1000</v>
      </c>
      <c r="J10" s="10"/>
      <c r="K10" s="9">
        <v>1000</v>
      </c>
      <c r="L10" s="8">
        <f t="shared" si="0"/>
        <v>0</v>
      </c>
    </row>
    <row r="11" spans="1:12" ht="150.75" customHeight="1" thickBot="1" x14ac:dyDescent="0.3">
      <c r="A11" s="47"/>
      <c r="B11" s="24" t="s">
        <v>32</v>
      </c>
      <c r="C11" s="12" t="s">
        <v>31</v>
      </c>
      <c r="D11" s="22" t="s">
        <v>24</v>
      </c>
      <c r="E11" s="13" t="s">
        <v>78</v>
      </c>
      <c r="F11" s="22" t="s">
        <v>4</v>
      </c>
      <c r="G11" s="13" t="s">
        <v>0</v>
      </c>
      <c r="H11" s="12" t="s">
        <v>282</v>
      </c>
      <c r="I11" s="11">
        <v>1500</v>
      </c>
      <c r="J11" s="10"/>
      <c r="K11" s="9">
        <v>1500</v>
      </c>
      <c r="L11" s="8">
        <f t="shared" si="0"/>
        <v>0</v>
      </c>
    </row>
    <row r="12" spans="1:12" ht="150.75" customHeight="1" thickBot="1" x14ac:dyDescent="0.3">
      <c r="A12" s="47"/>
      <c r="B12" s="24" t="s">
        <v>32</v>
      </c>
      <c r="C12" s="12" t="s">
        <v>31</v>
      </c>
      <c r="D12" s="22" t="s">
        <v>24</v>
      </c>
      <c r="E12" s="13" t="s">
        <v>171</v>
      </c>
      <c r="F12" s="22" t="s">
        <v>4</v>
      </c>
      <c r="G12" s="13" t="s">
        <v>0</v>
      </c>
      <c r="H12" s="12" t="s">
        <v>282</v>
      </c>
      <c r="I12" s="11">
        <v>2000</v>
      </c>
      <c r="J12" s="10"/>
      <c r="K12" s="9">
        <v>2000</v>
      </c>
      <c r="L12" s="8">
        <f t="shared" si="0"/>
        <v>0</v>
      </c>
    </row>
    <row r="13" spans="1:12" ht="150.75" customHeight="1" thickBot="1" x14ac:dyDescent="0.3">
      <c r="A13" s="48"/>
      <c r="B13" s="24" t="s">
        <v>28</v>
      </c>
      <c r="C13" s="12" t="s">
        <v>155</v>
      </c>
      <c r="D13" s="12" t="s">
        <v>24</v>
      </c>
      <c r="E13" s="13" t="s">
        <v>156</v>
      </c>
      <c r="F13" s="22" t="s">
        <v>4</v>
      </c>
      <c r="G13" s="13" t="s">
        <v>0</v>
      </c>
      <c r="H13" s="12" t="s">
        <v>282</v>
      </c>
      <c r="I13" s="11">
        <v>2000</v>
      </c>
      <c r="J13" s="10"/>
      <c r="K13" s="9">
        <v>2000</v>
      </c>
      <c r="L13" s="8">
        <f t="shared" si="0"/>
        <v>0</v>
      </c>
    </row>
    <row r="14" spans="1:12" ht="150.75" customHeight="1" thickBot="1" x14ac:dyDescent="0.3">
      <c r="A14" s="46" t="s">
        <v>36</v>
      </c>
      <c r="B14" s="24" t="s">
        <v>239</v>
      </c>
      <c r="C14" s="12" t="s">
        <v>163</v>
      </c>
      <c r="D14" s="12" t="s">
        <v>24</v>
      </c>
      <c r="E14" s="13" t="s">
        <v>252</v>
      </c>
      <c r="F14" s="22" t="s">
        <v>102</v>
      </c>
      <c r="G14" s="13" t="s">
        <v>37</v>
      </c>
      <c r="H14" s="12" t="s">
        <v>181</v>
      </c>
      <c r="I14" s="11">
        <v>1000</v>
      </c>
      <c r="J14" s="10"/>
      <c r="K14" s="9">
        <v>1000</v>
      </c>
      <c r="L14" s="8">
        <f t="shared" si="0"/>
        <v>0</v>
      </c>
    </row>
    <row r="15" spans="1:12" ht="150.75" customHeight="1" thickBot="1" x14ac:dyDescent="0.3">
      <c r="A15" s="47"/>
      <c r="B15" s="24" t="s">
        <v>28</v>
      </c>
      <c r="C15" s="12" t="s">
        <v>155</v>
      </c>
      <c r="D15" s="12" t="s">
        <v>24</v>
      </c>
      <c r="E15" s="13" t="s">
        <v>156</v>
      </c>
      <c r="F15" s="22" t="s">
        <v>4</v>
      </c>
      <c r="G15" s="13" t="s">
        <v>0</v>
      </c>
      <c r="H15" s="12" t="s">
        <v>245</v>
      </c>
      <c r="I15" s="11">
        <v>2510</v>
      </c>
      <c r="J15" s="10">
        <v>1000</v>
      </c>
      <c r="K15" s="9">
        <v>1510</v>
      </c>
      <c r="L15" s="8">
        <f t="shared" si="0"/>
        <v>0</v>
      </c>
    </row>
    <row r="16" spans="1:12" ht="150.75" customHeight="1" thickBot="1" x14ac:dyDescent="0.3">
      <c r="A16" s="47"/>
      <c r="B16" s="24" t="s">
        <v>66</v>
      </c>
      <c r="C16" s="12" t="s">
        <v>62</v>
      </c>
      <c r="D16" s="12" t="s">
        <v>24</v>
      </c>
      <c r="E16" s="13" t="s">
        <v>63</v>
      </c>
      <c r="F16" s="22" t="s">
        <v>4</v>
      </c>
      <c r="G16" s="13" t="s">
        <v>0</v>
      </c>
      <c r="H16" s="12" t="s">
        <v>282</v>
      </c>
      <c r="I16" s="11">
        <v>2000</v>
      </c>
      <c r="J16" s="10"/>
      <c r="K16" s="9">
        <v>2000</v>
      </c>
      <c r="L16" s="8">
        <f t="shared" si="0"/>
        <v>0</v>
      </c>
    </row>
    <row r="17" spans="1:12" ht="150.75" customHeight="1" thickBot="1" x14ac:dyDescent="0.3">
      <c r="A17" s="47"/>
      <c r="B17" s="24" t="s">
        <v>61</v>
      </c>
      <c r="C17" s="12" t="s">
        <v>31</v>
      </c>
      <c r="D17" s="12" t="s">
        <v>24</v>
      </c>
      <c r="E17" s="13" t="s">
        <v>70</v>
      </c>
      <c r="F17" s="22" t="s">
        <v>4</v>
      </c>
      <c r="G17" s="13" t="s">
        <v>0</v>
      </c>
      <c r="H17" s="12" t="s">
        <v>245</v>
      </c>
      <c r="I17" s="11">
        <v>2000</v>
      </c>
      <c r="J17" s="10">
        <v>1000</v>
      </c>
      <c r="K17" s="9">
        <v>1000</v>
      </c>
      <c r="L17" s="8">
        <f t="shared" si="0"/>
        <v>0</v>
      </c>
    </row>
    <row r="18" spans="1:12" ht="150.75" customHeight="1" thickBot="1" x14ac:dyDescent="0.3">
      <c r="A18" s="47"/>
      <c r="B18" s="24" t="s">
        <v>38</v>
      </c>
      <c r="C18" s="12" t="s">
        <v>15</v>
      </c>
      <c r="D18" s="12" t="s">
        <v>24</v>
      </c>
      <c r="E18" s="13" t="s">
        <v>96</v>
      </c>
      <c r="F18" s="22" t="s">
        <v>4</v>
      </c>
      <c r="G18" s="13" t="s">
        <v>0</v>
      </c>
      <c r="H18" s="12" t="s">
        <v>245</v>
      </c>
      <c r="I18" s="11">
        <v>480</v>
      </c>
      <c r="J18" s="10"/>
      <c r="K18" s="9">
        <v>480</v>
      </c>
      <c r="L18" s="8">
        <f t="shared" si="0"/>
        <v>0</v>
      </c>
    </row>
    <row r="19" spans="1:12" ht="150.75" customHeight="1" thickBot="1" x14ac:dyDescent="0.3">
      <c r="A19" s="47"/>
      <c r="B19" s="24" t="s">
        <v>38</v>
      </c>
      <c r="C19" s="12" t="s">
        <v>15</v>
      </c>
      <c r="D19" s="12" t="s">
        <v>24</v>
      </c>
      <c r="E19" s="13" t="s">
        <v>96</v>
      </c>
      <c r="F19" s="22" t="s">
        <v>4</v>
      </c>
      <c r="G19" s="13" t="s">
        <v>0</v>
      </c>
      <c r="H19" s="12" t="s">
        <v>282</v>
      </c>
      <c r="I19" s="11">
        <v>2500</v>
      </c>
      <c r="J19" s="10">
        <v>1000</v>
      </c>
      <c r="K19" s="9">
        <v>1500</v>
      </c>
      <c r="L19" s="8">
        <f t="shared" si="0"/>
        <v>0</v>
      </c>
    </row>
    <row r="20" spans="1:12" ht="150.75" customHeight="1" thickBot="1" x14ac:dyDescent="0.3">
      <c r="A20" s="47"/>
      <c r="B20" s="24" t="s">
        <v>77</v>
      </c>
      <c r="C20" s="12" t="s">
        <v>27</v>
      </c>
      <c r="D20" s="12" t="s">
        <v>24</v>
      </c>
      <c r="E20" s="13" t="s">
        <v>76</v>
      </c>
      <c r="F20" s="22" t="s">
        <v>4</v>
      </c>
      <c r="G20" s="13" t="s">
        <v>0</v>
      </c>
      <c r="H20" s="12" t="s">
        <v>245</v>
      </c>
      <c r="I20" s="11">
        <v>3000</v>
      </c>
      <c r="J20" s="10"/>
      <c r="K20" s="9">
        <v>3000</v>
      </c>
      <c r="L20" s="8">
        <f t="shared" si="0"/>
        <v>0</v>
      </c>
    </row>
    <row r="21" spans="1:12" ht="150.75" customHeight="1" thickBot="1" x14ac:dyDescent="0.3">
      <c r="A21" s="47"/>
      <c r="B21" s="24" t="s">
        <v>77</v>
      </c>
      <c r="C21" s="12" t="s">
        <v>27</v>
      </c>
      <c r="D21" s="12" t="s">
        <v>24</v>
      </c>
      <c r="E21" s="13" t="s">
        <v>111</v>
      </c>
      <c r="F21" s="22" t="s">
        <v>4</v>
      </c>
      <c r="G21" s="13" t="s">
        <v>0</v>
      </c>
      <c r="H21" s="12" t="s">
        <v>245</v>
      </c>
      <c r="I21" s="11">
        <v>700</v>
      </c>
      <c r="J21" s="10"/>
      <c r="K21" s="9">
        <v>700</v>
      </c>
      <c r="L21" s="8">
        <f t="shared" si="0"/>
        <v>0</v>
      </c>
    </row>
    <row r="22" spans="1:12" ht="150.75" customHeight="1" thickBot="1" x14ac:dyDescent="0.3">
      <c r="A22" s="47"/>
      <c r="B22" s="24" t="s">
        <v>157</v>
      </c>
      <c r="C22" s="12" t="s">
        <v>26</v>
      </c>
      <c r="D22" s="12" t="s">
        <v>24</v>
      </c>
      <c r="E22" s="13" t="s">
        <v>25</v>
      </c>
      <c r="F22" s="22" t="s">
        <v>4</v>
      </c>
      <c r="G22" s="13" t="s">
        <v>0</v>
      </c>
      <c r="H22" s="12" t="s">
        <v>282</v>
      </c>
      <c r="I22" s="11">
        <v>1370</v>
      </c>
      <c r="J22" s="10"/>
      <c r="K22" s="9">
        <v>1370</v>
      </c>
      <c r="L22" s="8">
        <f t="shared" si="0"/>
        <v>0</v>
      </c>
    </row>
    <row r="23" spans="1:12" ht="150.75" customHeight="1" thickBot="1" x14ac:dyDescent="0.3">
      <c r="A23" s="48"/>
      <c r="B23" s="24" t="s">
        <v>112</v>
      </c>
      <c r="C23" s="12" t="s">
        <v>113</v>
      </c>
      <c r="D23" s="12" t="s">
        <v>24</v>
      </c>
      <c r="E23" s="13" t="s">
        <v>114</v>
      </c>
      <c r="F23" s="22" t="s">
        <v>4</v>
      </c>
      <c r="G23" s="13" t="s">
        <v>0</v>
      </c>
      <c r="H23" s="12" t="s">
        <v>282</v>
      </c>
      <c r="I23" s="11">
        <v>1500</v>
      </c>
      <c r="J23" s="10">
        <v>1000</v>
      </c>
      <c r="K23" s="9">
        <v>500</v>
      </c>
      <c r="L23" s="8">
        <f t="shared" si="0"/>
        <v>0</v>
      </c>
    </row>
    <row r="24" spans="1:12" ht="150.75" customHeight="1" thickBot="1" x14ac:dyDescent="0.3">
      <c r="A24" s="46" t="s">
        <v>23</v>
      </c>
      <c r="B24" s="24" t="s">
        <v>12</v>
      </c>
      <c r="C24" s="12" t="s">
        <v>6</v>
      </c>
      <c r="D24" s="12" t="s">
        <v>20</v>
      </c>
      <c r="E24" s="13" t="s">
        <v>22</v>
      </c>
      <c r="F24" s="22" t="s">
        <v>4</v>
      </c>
      <c r="G24" s="13" t="s">
        <v>0</v>
      </c>
      <c r="H24" s="12" t="s">
        <v>245</v>
      </c>
      <c r="I24" s="11">
        <v>3000</v>
      </c>
      <c r="J24" s="10">
        <v>1000</v>
      </c>
      <c r="K24" s="9">
        <v>2000</v>
      </c>
      <c r="L24" s="8">
        <f t="shared" si="0"/>
        <v>0</v>
      </c>
    </row>
    <row r="25" spans="1:12" ht="150.75" customHeight="1" thickBot="1" x14ac:dyDescent="0.3">
      <c r="A25" s="47"/>
      <c r="B25" s="24" t="s">
        <v>21</v>
      </c>
      <c r="C25" s="12" t="s">
        <v>118</v>
      </c>
      <c r="D25" s="12" t="s">
        <v>20</v>
      </c>
      <c r="E25" s="13" t="s">
        <v>222</v>
      </c>
      <c r="F25" s="22" t="s">
        <v>4</v>
      </c>
      <c r="G25" s="13" t="s">
        <v>0</v>
      </c>
      <c r="H25" s="12" t="s">
        <v>245</v>
      </c>
      <c r="I25" s="11">
        <v>1647</v>
      </c>
      <c r="J25" s="10">
        <v>1000</v>
      </c>
      <c r="K25" s="9">
        <v>647</v>
      </c>
      <c r="L25" s="8">
        <f t="shared" si="0"/>
        <v>0</v>
      </c>
    </row>
    <row r="26" spans="1:12" ht="150.75" customHeight="1" thickBot="1" x14ac:dyDescent="0.3">
      <c r="A26" s="48"/>
      <c r="B26" s="24" t="s">
        <v>21</v>
      </c>
      <c r="C26" s="12" t="s">
        <v>3</v>
      </c>
      <c r="D26" s="12" t="s">
        <v>20</v>
      </c>
      <c r="E26" s="13" t="s">
        <v>56</v>
      </c>
      <c r="F26" s="22" t="s">
        <v>9</v>
      </c>
      <c r="G26" s="13" t="s">
        <v>0</v>
      </c>
      <c r="H26" s="12" t="s">
        <v>282</v>
      </c>
      <c r="I26" s="11">
        <v>5000</v>
      </c>
      <c r="J26" s="10"/>
      <c r="K26" s="9">
        <v>5000</v>
      </c>
      <c r="L26" s="8">
        <f t="shared" si="0"/>
        <v>0</v>
      </c>
    </row>
    <row r="27" spans="1:12" ht="150.75" customHeight="1" thickBot="1" x14ac:dyDescent="0.3">
      <c r="A27" s="46" t="s">
        <v>54</v>
      </c>
      <c r="B27" s="24" t="s">
        <v>67</v>
      </c>
      <c r="C27" s="12" t="s">
        <v>163</v>
      </c>
      <c r="D27" s="12" t="s">
        <v>60</v>
      </c>
      <c r="E27" s="13" t="s">
        <v>165</v>
      </c>
      <c r="F27" s="22" t="s">
        <v>102</v>
      </c>
      <c r="G27" s="13" t="s">
        <v>37</v>
      </c>
      <c r="H27" s="12" t="s">
        <v>245</v>
      </c>
      <c r="I27" s="11">
        <v>50</v>
      </c>
      <c r="J27" s="10"/>
      <c r="K27" s="9">
        <v>50</v>
      </c>
      <c r="L27" s="8">
        <f t="shared" si="0"/>
        <v>0</v>
      </c>
    </row>
    <row r="28" spans="1:12" ht="150.75" customHeight="1" thickBot="1" x14ac:dyDescent="0.3">
      <c r="A28" s="47"/>
      <c r="B28" s="24" t="s">
        <v>67</v>
      </c>
      <c r="C28" s="12" t="s">
        <v>163</v>
      </c>
      <c r="D28" s="12" t="s">
        <v>60</v>
      </c>
      <c r="E28" s="13" t="s">
        <v>166</v>
      </c>
      <c r="F28" s="22" t="s">
        <v>102</v>
      </c>
      <c r="G28" s="13" t="s">
        <v>37</v>
      </c>
      <c r="H28" s="12" t="s">
        <v>245</v>
      </c>
      <c r="I28" s="11">
        <v>100</v>
      </c>
      <c r="J28" s="10"/>
      <c r="K28" s="9">
        <v>100</v>
      </c>
      <c r="L28" s="8">
        <f t="shared" si="0"/>
        <v>0</v>
      </c>
    </row>
    <row r="29" spans="1:12" ht="150.75" customHeight="1" thickBot="1" x14ac:dyDescent="0.3">
      <c r="A29" s="48"/>
      <c r="B29" s="24" t="s">
        <v>67</v>
      </c>
      <c r="C29" s="12" t="s">
        <v>163</v>
      </c>
      <c r="D29" s="12" t="s">
        <v>60</v>
      </c>
      <c r="E29" s="13" t="s">
        <v>167</v>
      </c>
      <c r="F29" s="22" t="s">
        <v>102</v>
      </c>
      <c r="G29" s="13" t="s">
        <v>37</v>
      </c>
      <c r="H29" s="12" t="s">
        <v>245</v>
      </c>
      <c r="I29" s="11">
        <v>80</v>
      </c>
      <c r="J29" s="10"/>
      <c r="K29" s="9">
        <v>80</v>
      </c>
      <c r="L29" s="8">
        <f t="shared" si="0"/>
        <v>0</v>
      </c>
    </row>
    <row r="30" spans="1:12" ht="150.75" customHeight="1" thickBot="1" x14ac:dyDescent="0.3">
      <c r="A30" s="46" t="s">
        <v>19</v>
      </c>
      <c r="B30" s="24" t="s">
        <v>7</v>
      </c>
      <c r="C30" s="12" t="s">
        <v>15</v>
      </c>
      <c r="D30" s="12" t="s">
        <v>14</v>
      </c>
      <c r="E30" s="13" t="s">
        <v>58</v>
      </c>
      <c r="F30" s="22" t="s">
        <v>4</v>
      </c>
      <c r="G30" s="13" t="s">
        <v>0</v>
      </c>
      <c r="H30" s="12" t="s">
        <v>245</v>
      </c>
      <c r="I30" s="11">
        <v>2890</v>
      </c>
      <c r="J30" s="10">
        <v>1000</v>
      </c>
      <c r="K30" s="9">
        <v>1890</v>
      </c>
      <c r="L30" s="8">
        <f t="shared" si="0"/>
        <v>0</v>
      </c>
    </row>
    <row r="31" spans="1:12" ht="150.75" customHeight="1" thickBot="1" x14ac:dyDescent="0.3">
      <c r="A31" s="47"/>
      <c r="B31" s="24" t="s">
        <v>7</v>
      </c>
      <c r="C31" s="12" t="s">
        <v>15</v>
      </c>
      <c r="D31" s="12" t="s">
        <v>14</v>
      </c>
      <c r="E31" s="13" t="s">
        <v>65</v>
      </c>
      <c r="F31" s="22" t="s">
        <v>4</v>
      </c>
      <c r="G31" s="13" t="s">
        <v>0</v>
      </c>
      <c r="H31" s="12" t="s">
        <v>282</v>
      </c>
      <c r="I31" s="11">
        <v>1500</v>
      </c>
      <c r="J31" s="10"/>
      <c r="K31" s="9">
        <v>1500</v>
      </c>
      <c r="L31" s="8">
        <f t="shared" si="0"/>
        <v>0</v>
      </c>
    </row>
    <row r="32" spans="1:12" ht="150.75" customHeight="1" thickBot="1" x14ac:dyDescent="0.3">
      <c r="A32" s="47"/>
      <c r="B32" s="24" t="s">
        <v>12</v>
      </c>
      <c r="C32" s="12" t="s">
        <v>118</v>
      </c>
      <c r="D32" s="12" t="s">
        <v>123</v>
      </c>
      <c r="E32" s="13" t="s">
        <v>124</v>
      </c>
      <c r="F32" s="22" t="s">
        <v>4</v>
      </c>
      <c r="G32" s="13" t="s">
        <v>0</v>
      </c>
      <c r="H32" s="12" t="s">
        <v>282</v>
      </c>
      <c r="I32" s="11">
        <v>2000</v>
      </c>
      <c r="J32" s="10"/>
      <c r="K32" s="9">
        <v>2000</v>
      </c>
      <c r="L32" s="8">
        <f t="shared" si="0"/>
        <v>0</v>
      </c>
    </row>
    <row r="33" spans="1:12" ht="150.75" customHeight="1" thickBot="1" x14ac:dyDescent="0.3">
      <c r="A33" s="47"/>
      <c r="B33" s="24" t="s">
        <v>12</v>
      </c>
      <c r="C33" s="12" t="s">
        <v>3</v>
      </c>
      <c r="D33" s="12" t="s">
        <v>11</v>
      </c>
      <c r="E33" s="13" t="s">
        <v>10</v>
      </c>
      <c r="F33" s="22" t="s">
        <v>4</v>
      </c>
      <c r="G33" s="13" t="s">
        <v>0</v>
      </c>
      <c r="H33" s="12" t="s">
        <v>282</v>
      </c>
      <c r="I33" s="11">
        <v>10000</v>
      </c>
      <c r="J33" s="10">
        <v>2000</v>
      </c>
      <c r="K33" s="9">
        <v>8000</v>
      </c>
      <c r="L33" s="8">
        <f t="shared" si="0"/>
        <v>0</v>
      </c>
    </row>
    <row r="34" spans="1:12" ht="150.75" customHeight="1" thickBot="1" x14ac:dyDescent="0.3">
      <c r="A34" s="47"/>
      <c r="B34" s="24" t="s">
        <v>7</v>
      </c>
      <c r="C34" s="12" t="s">
        <v>6</v>
      </c>
      <c r="D34" s="12" t="s">
        <v>1</v>
      </c>
      <c r="E34" s="13" t="s">
        <v>5</v>
      </c>
      <c r="F34" s="22" t="s">
        <v>4</v>
      </c>
      <c r="G34" s="13" t="s">
        <v>0</v>
      </c>
      <c r="H34" s="12" t="s">
        <v>282</v>
      </c>
      <c r="I34" s="11">
        <v>3000</v>
      </c>
      <c r="J34" s="10">
        <v>1000</v>
      </c>
      <c r="K34" s="9">
        <v>2000</v>
      </c>
      <c r="L34" s="8">
        <f t="shared" si="0"/>
        <v>0</v>
      </c>
    </row>
    <row r="35" spans="1:12" ht="150.75" customHeight="1" thickBot="1" x14ac:dyDescent="0.3">
      <c r="A35" s="48"/>
      <c r="B35" s="24" t="s">
        <v>194</v>
      </c>
      <c r="C35" s="12" t="s">
        <v>3</v>
      </c>
      <c r="D35" s="12" t="s">
        <v>1</v>
      </c>
      <c r="E35" s="13" t="s">
        <v>195</v>
      </c>
      <c r="F35" s="22" t="s">
        <v>122</v>
      </c>
      <c r="G35" s="13" t="s">
        <v>0</v>
      </c>
      <c r="H35" s="12" t="s">
        <v>282</v>
      </c>
      <c r="I35" s="11">
        <v>5000</v>
      </c>
      <c r="J35" s="10">
        <v>1000</v>
      </c>
      <c r="K35" s="9">
        <v>4000</v>
      </c>
      <c r="L35" s="8">
        <f t="shared" si="0"/>
        <v>0</v>
      </c>
    </row>
  </sheetData>
  <autoFilter ref="A2:L35"/>
  <dataConsolidate/>
  <mergeCells count="6">
    <mergeCell ref="A30:A35"/>
    <mergeCell ref="A1:L1"/>
    <mergeCell ref="A3:A13"/>
    <mergeCell ref="A14:A23"/>
    <mergeCell ref="A24:A26"/>
    <mergeCell ref="A27:A29"/>
  </mergeCells>
  <conditionalFormatting sqref="K3:L26 I2:I26">
    <cfRule type="cellIs" dxfId="117" priority="3" operator="lessThan">
      <formula>0</formula>
    </cfRule>
  </conditionalFormatting>
  <conditionalFormatting sqref="L2">
    <cfRule type="cellIs" dxfId="116" priority="2" operator="lessThan">
      <formula>0</formula>
    </cfRule>
  </conditionalFormatting>
  <conditionalFormatting sqref="I27:I35 K27:L35">
    <cfRule type="cellIs" dxfId="115" priority="1" operator="lessThan">
      <formula>0</formula>
    </cfRule>
  </conditionalFormatting>
  <printOptions horizontalCentered="1"/>
  <pageMargins left="0" right="0" top="0" bottom="0" header="0" footer="0"/>
  <pageSetup paperSize="9" scale="11" fitToHeight="0" orientation="portrait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26"/>
  <sheetViews>
    <sheetView showGridLines="0" view="pageBreakPreview" zoomScale="20" zoomScaleNormal="27" zoomScaleSheetLayoutView="20" workbookViewId="0">
      <selection activeCell="I8" sqref="I8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50" t="s">
        <v>41</v>
      </c>
      <c r="B3" s="13" t="s">
        <v>38</v>
      </c>
      <c r="C3" s="12" t="s">
        <v>15</v>
      </c>
      <c r="D3" s="12" t="s">
        <v>24</v>
      </c>
      <c r="E3" s="13" t="s">
        <v>96</v>
      </c>
      <c r="F3" s="22" t="s">
        <v>4</v>
      </c>
      <c r="G3" s="13" t="s">
        <v>8</v>
      </c>
      <c r="H3" s="12" t="s">
        <v>245</v>
      </c>
      <c r="I3" s="11">
        <v>200</v>
      </c>
      <c r="J3" s="10"/>
      <c r="K3" s="9">
        <v>200</v>
      </c>
      <c r="L3" s="8">
        <f t="shared" ref="L3:L26" si="0">K3+J3-I3</f>
        <v>0</v>
      </c>
    </row>
    <row r="4" spans="1:12" ht="150.75" customHeight="1" thickBot="1" x14ac:dyDescent="0.3">
      <c r="A4" s="50"/>
      <c r="B4" s="13" t="s">
        <v>77</v>
      </c>
      <c r="C4" s="12" t="s">
        <v>27</v>
      </c>
      <c r="D4" s="12" t="s">
        <v>24</v>
      </c>
      <c r="E4" s="13" t="s">
        <v>55</v>
      </c>
      <c r="F4" s="22" t="s">
        <v>9</v>
      </c>
      <c r="G4" s="13" t="s">
        <v>0</v>
      </c>
      <c r="H4" s="12" t="s">
        <v>282</v>
      </c>
      <c r="I4" s="11">
        <v>2000</v>
      </c>
      <c r="J4" s="10"/>
      <c r="K4" s="9">
        <v>2000</v>
      </c>
      <c r="L4" s="8">
        <f t="shared" si="0"/>
        <v>0</v>
      </c>
    </row>
    <row r="5" spans="1:12" ht="150.75" customHeight="1" thickBot="1" x14ac:dyDescent="0.3">
      <c r="A5" s="50"/>
      <c r="B5" s="13" t="s">
        <v>112</v>
      </c>
      <c r="C5" s="12" t="s">
        <v>113</v>
      </c>
      <c r="D5" s="12" t="s">
        <v>24</v>
      </c>
      <c r="E5" s="13" t="s">
        <v>114</v>
      </c>
      <c r="F5" s="22" t="s">
        <v>4</v>
      </c>
      <c r="G5" s="13" t="s">
        <v>8</v>
      </c>
      <c r="H5" s="12" t="s">
        <v>282</v>
      </c>
      <c r="I5" s="11">
        <v>50</v>
      </c>
      <c r="J5" s="10"/>
      <c r="K5" s="9">
        <v>50</v>
      </c>
      <c r="L5" s="8">
        <f t="shared" si="0"/>
        <v>0</v>
      </c>
    </row>
    <row r="6" spans="1:12" ht="150.75" customHeight="1" thickBot="1" x14ac:dyDescent="0.3">
      <c r="A6" s="50"/>
      <c r="B6" s="13" t="s">
        <v>32</v>
      </c>
      <c r="C6" s="12" t="s">
        <v>31</v>
      </c>
      <c r="D6" s="12" t="s">
        <v>24</v>
      </c>
      <c r="E6" s="13" t="s">
        <v>294</v>
      </c>
      <c r="F6" s="22" t="s">
        <v>4</v>
      </c>
      <c r="G6" s="13" t="s">
        <v>0</v>
      </c>
      <c r="H6" s="12" t="s">
        <v>282</v>
      </c>
      <c r="I6" s="11">
        <v>200</v>
      </c>
      <c r="J6" s="10"/>
      <c r="K6" s="9">
        <v>200</v>
      </c>
      <c r="L6" s="8">
        <f t="shared" si="0"/>
        <v>0</v>
      </c>
    </row>
    <row r="7" spans="1:12" ht="150.75" customHeight="1" thickBot="1" x14ac:dyDescent="0.3">
      <c r="A7" s="50"/>
      <c r="B7" s="13" t="s">
        <v>32</v>
      </c>
      <c r="C7" s="12" t="s">
        <v>31</v>
      </c>
      <c r="D7" s="12" t="s">
        <v>24</v>
      </c>
      <c r="E7" s="13" t="s">
        <v>78</v>
      </c>
      <c r="F7" s="22" t="s">
        <v>4</v>
      </c>
      <c r="G7" s="13" t="s">
        <v>0</v>
      </c>
      <c r="H7" s="12" t="s">
        <v>282</v>
      </c>
      <c r="I7" s="11">
        <v>450</v>
      </c>
      <c r="J7" s="10"/>
      <c r="K7" s="9">
        <v>450</v>
      </c>
      <c r="L7" s="8">
        <f t="shared" si="0"/>
        <v>0</v>
      </c>
    </row>
    <row r="8" spans="1:12" ht="150.75" customHeight="1" thickBot="1" x14ac:dyDescent="0.3">
      <c r="A8" s="50"/>
      <c r="B8" s="24" t="s">
        <v>32</v>
      </c>
      <c r="C8" s="12" t="s">
        <v>31</v>
      </c>
      <c r="D8" s="12" t="s">
        <v>24</v>
      </c>
      <c r="E8" s="13" t="s">
        <v>171</v>
      </c>
      <c r="F8" s="22" t="s">
        <v>4</v>
      </c>
      <c r="G8" s="13" t="s">
        <v>0</v>
      </c>
      <c r="H8" s="12" t="s">
        <v>282</v>
      </c>
      <c r="I8" s="11">
        <v>310</v>
      </c>
      <c r="J8" s="10"/>
      <c r="K8" s="9">
        <v>310</v>
      </c>
      <c r="L8" s="8">
        <f t="shared" si="0"/>
        <v>0</v>
      </c>
    </row>
    <row r="9" spans="1:12" ht="150.75" customHeight="1" thickBot="1" x14ac:dyDescent="0.3">
      <c r="A9" s="50"/>
      <c r="B9" s="24" t="s">
        <v>32</v>
      </c>
      <c r="C9" s="12" t="s">
        <v>31</v>
      </c>
      <c r="D9" s="12" t="s">
        <v>24</v>
      </c>
      <c r="E9" s="13" t="s">
        <v>116</v>
      </c>
      <c r="F9" s="22" t="s">
        <v>9</v>
      </c>
      <c r="G9" s="13" t="s">
        <v>0</v>
      </c>
      <c r="H9" s="12" t="s">
        <v>295</v>
      </c>
      <c r="I9" s="11">
        <v>2000</v>
      </c>
      <c r="J9" s="10"/>
      <c r="K9" s="9">
        <v>2000</v>
      </c>
      <c r="L9" s="8">
        <f t="shared" si="0"/>
        <v>0</v>
      </c>
    </row>
    <row r="10" spans="1:12" ht="150.75" customHeight="1" thickBot="1" x14ac:dyDescent="0.3">
      <c r="A10" s="50" t="s">
        <v>36</v>
      </c>
      <c r="B10" s="24" t="s">
        <v>28</v>
      </c>
      <c r="C10" s="12" t="s">
        <v>155</v>
      </c>
      <c r="D10" s="12" t="s">
        <v>24</v>
      </c>
      <c r="E10" s="13" t="s">
        <v>156</v>
      </c>
      <c r="F10" s="22" t="s">
        <v>4</v>
      </c>
      <c r="G10" s="13" t="s">
        <v>0</v>
      </c>
      <c r="H10" s="12" t="s">
        <v>282</v>
      </c>
      <c r="I10" s="11">
        <v>1000</v>
      </c>
      <c r="J10" s="10"/>
      <c r="K10" s="9">
        <v>1000</v>
      </c>
      <c r="L10" s="8">
        <f t="shared" si="0"/>
        <v>0</v>
      </c>
    </row>
    <row r="11" spans="1:12" ht="150.75" customHeight="1" thickBot="1" x14ac:dyDescent="0.3">
      <c r="A11" s="50"/>
      <c r="B11" s="24" t="s">
        <v>66</v>
      </c>
      <c r="C11" s="12" t="s">
        <v>62</v>
      </c>
      <c r="D11" s="22" t="s">
        <v>24</v>
      </c>
      <c r="E11" s="13" t="s">
        <v>63</v>
      </c>
      <c r="F11" s="22" t="s">
        <v>4</v>
      </c>
      <c r="G11" s="13" t="s">
        <v>0</v>
      </c>
      <c r="H11" s="12" t="s">
        <v>282</v>
      </c>
      <c r="I11" s="11">
        <v>890</v>
      </c>
      <c r="J11" s="10"/>
      <c r="K11" s="9">
        <v>890</v>
      </c>
      <c r="L11" s="8">
        <f t="shared" si="0"/>
        <v>0</v>
      </c>
    </row>
    <row r="12" spans="1:12" ht="150.75" customHeight="1" thickBot="1" x14ac:dyDescent="0.3">
      <c r="A12" s="50"/>
      <c r="B12" s="24" t="s">
        <v>61</v>
      </c>
      <c r="C12" s="12" t="s">
        <v>31</v>
      </c>
      <c r="D12" s="22" t="s">
        <v>24</v>
      </c>
      <c r="E12" s="13" t="s">
        <v>116</v>
      </c>
      <c r="F12" s="22" t="s">
        <v>9</v>
      </c>
      <c r="G12" s="13" t="s">
        <v>0</v>
      </c>
      <c r="H12" s="12" t="s">
        <v>295</v>
      </c>
      <c r="I12" s="11">
        <v>1000</v>
      </c>
      <c r="J12" s="10"/>
      <c r="K12" s="9">
        <v>1000</v>
      </c>
      <c r="L12" s="8">
        <f t="shared" si="0"/>
        <v>0</v>
      </c>
    </row>
    <row r="13" spans="1:12" ht="150.75" customHeight="1" thickBot="1" x14ac:dyDescent="0.3">
      <c r="A13" s="50"/>
      <c r="B13" s="24" t="s">
        <v>32</v>
      </c>
      <c r="C13" s="12" t="s">
        <v>31</v>
      </c>
      <c r="D13" s="12" t="s">
        <v>24</v>
      </c>
      <c r="E13" s="13" t="s">
        <v>78</v>
      </c>
      <c r="F13" s="22" t="s">
        <v>4</v>
      </c>
      <c r="G13" s="13" t="s">
        <v>0</v>
      </c>
      <c r="H13" s="12" t="s">
        <v>282</v>
      </c>
      <c r="I13" s="11">
        <v>1950</v>
      </c>
      <c r="J13" s="10"/>
      <c r="K13" s="9">
        <v>1950</v>
      </c>
      <c r="L13" s="8">
        <f t="shared" si="0"/>
        <v>0</v>
      </c>
    </row>
    <row r="14" spans="1:12" ht="150.75" customHeight="1" thickBot="1" x14ac:dyDescent="0.3">
      <c r="A14" s="50"/>
      <c r="B14" s="24" t="s">
        <v>32</v>
      </c>
      <c r="C14" s="12" t="s">
        <v>31</v>
      </c>
      <c r="D14" s="12" t="s">
        <v>24</v>
      </c>
      <c r="E14" s="13" t="s">
        <v>294</v>
      </c>
      <c r="F14" s="22" t="s">
        <v>4</v>
      </c>
      <c r="G14" s="13" t="s">
        <v>0</v>
      </c>
      <c r="H14" s="12" t="s">
        <v>282</v>
      </c>
      <c r="I14" s="11">
        <v>200</v>
      </c>
      <c r="J14" s="10"/>
      <c r="K14" s="9">
        <v>200</v>
      </c>
      <c r="L14" s="8">
        <f t="shared" si="0"/>
        <v>0</v>
      </c>
    </row>
    <row r="15" spans="1:12" ht="150.75" customHeight="1" thickBot="1" x14ac:dyDescent="0.3">
      <c r="A15" s="50"/>
      <c r="B15" s="24" t="s">
        <v>32</v>
      </c>
      <c r="C15" s="12" t="s">
        <v>31</v>
      </c>
      <c r="D15" s="12" t="s">
        <v>24</v>
      </c>
      <c r="E15" s="13" t="s">
        <v>171</v>
      </c>
      <c r="F15" s="22" t="s">
        <v>4</v>
      </c>
      <c r="G15" s="13" t="s">
        <v>0</v>
      </c>
      <c r="H15" s="12" t="s">
        <v>282</v>
      </c>
      <c r="I15" s="11">
        <v>1310</v>
      </c>
      <c r="J15" s="10"/>
      <c r="K15" s="9">
        <v>1310</v>
      </c>
      <c r="L15" s="8">
        <f t="shared" si="0"/>
        <v>0</v>
      </c>
    </row>
    <row r="16" spans="1:12" ht="150.75" customHeight="1" thickBot="1" x14ac:dyDescent="0.3">
      <c r="A16" s="50"/>
      <c r="B16" s="24" t="s">
        <v>40</v>
      </c>
      <c r="C16" s="12" t="s">
        <v>27</v>
      </c>
      <c r="D16" s="12" t="s">
        <v>24</v>
      </c>
      <c r="E16" s="13" t="s">
        <v>76</v>
      </c>
      <c r="F16" s="22" t="s">
        <v>4</v>
      </c>
      <c r="G16" s="13" t="s">
        <v>0</v>
      </c>
      <c r="H16" s="12" t="s">
        <v>282</v>
      </c>
      <c r="I16" s="11">
        <v>3120</v>
      </c>
      <c r="J16" s="10"/>
      <c r="K16" s="9">
        <f>2000+1120</f>
        <v>3120</v>
      </c>
      <c r="L16" s="8">
        <f t="shared" si="0"/>
        <v>0</v>
      </c>
    </row>
    <row r="17" spans="1:12" ht="150.75" customHeight="1" thickBot="1" x14ac:dyDescent="0.3">
      <c r="A17" s="50"/>
      <c r="B17" s="24" t="s">
        <v>38</v>
      </c>
      <c r="C17" s="12" t="s">
        <v>15</v>
      </c>
      <c r="D17" s="12" t="s">
        <v>24</v>
      </c>
      <c r="E17" s="13" t="s">
        <v>96</v>
      </c>
      <c r="F17" s="22" t="s">
        <v>4</v>
      </c>
      <c r="G17" s="13" t="s">
        <v>8</v>
      </c>
      <c r="H17" s="12" t="s">
        <v>282</v>
      </c>
      <c r="I17" s="11">
        <v>200</v>
      </c>
      <c r="J17" s="10"/>
      <c r="K17" s="9">
        <v>200</v>
      </c>
      <c r="L17" s="8">
        <f t="shared" si="0"/>
        <v>0</v>
      </c>
    </row>
    <row r="18" spans="1:12" ht="150.75" customHeight="1" thickBot="1" x14ac:dyDescent="0.3">
      <c r="A18" s="50"/>
      <c r="B18" s="24" t="s">
        <v>38</v>
      </c>
      <c r="C18" s="12" t="s">
        <v>15</v>
      </c>
      <c r="D18" s="12" t="s">
        <v>24</v>
      </c>
      <c r="E18" s="13" t="s">
        <v>96</v>
      </c>
      <c r="F18" s="22" t="s">
        <v>4</v>
      </c>
      <c r="G18" s="13" t="s">
        <v>0</v>
      </c>
      <c r="H18" s="12" t="s">
        <v>282</v>
      </c>
      <c r="I18" s="11">
        <v>1470</v>
      </c>
      <c r="J18" s="10"/>
      <c r="K18" s="9">
        <v>1470</v>
      </c>
      <c r="L18" s="8">
        <f t="shared" si="0"/>
        <v>0</v>
      </c>
    </row>
    <row r="19" spans="1:12" ht="150.75" customHeight="1" thickBot="1" x14ac:dyDescent="0.3">
      <c r="A19" s="50"/>
      <c r="B19" s="24" t="s">
        <v>112</v>
      </c>
      <c r="C19" s="12" t="s">
        <v>113</v>
      </c>
      <c r="D19" s="12" t="s">
        <v>24</v>
      </c>
      <c r="E19" s="13" t="s">
        <v>292</v>
      </c>
      <c r="F19" s="22" t="s">
        <v>4</v>
      </c>
      <c r="G19" s="13" t="s">
        <v>0</v>
      </c>
      <c r="H19" s="12" t="s">
        <v>282</v>
      </c>
      <c r="I19" s="11">
        <v>570</v>
      </c>
      <c r="J19" s="10"/>
      <c r="K19" s="9">
        <v>570</v>
      </c>
      <c r="L19" s="8">
        <f t="shared" si="0"/>
        <v>0</v>
      </c>
    </row>
    <row r="20" spans="1:12" ht="150.75" customHeight="1" thickBot="1" x14ac:dyDescent="0.3">
      <c r="A20" s="50" t="s">
        <v>23</v>
      </c>
      <c r="B20" s="24" t="s">
        <v>12</v>
      </c>
      <c r="C20" s="12" t="s">
        <v>6</v>
      </c>
      <c r="D20" s="12" t="s">
        <v>20</v>
      </c>
      <c r="E20" s="13" t="s">
        <v>22</v>
      </c>
      <c r="F20" s="22" t="s">
        <v>4</v>
      </c>
      <c r="G20" s="13" t="s">
        <v>0</v>
      </c>
      <c r="H20" s="12" t="s">
        <v>282</v>
      </c>
      <c r="I20" s="11">
        <v>2000</v>
      </c>
      <c r="J20" s="10"/>
      <c r="K20" s="9">
        <v>2000</v>
      </c>
      <c r="L20" s="8">
        <f t="shared" si="0"/>
        <v>0</v>
      </c>
    </row>
    <row r="21" spans="1:12" ht="150.75" customHeight="1" thickBot="1" x14ac:dyDescent="0.3">
      <c r="A21" s="50"/>
      <c r="B21" s="24" t="s">
        <v>21</v>
      </c>
      <c r="C21" s="12" t="s">
        <v>118</v>
      </c>
      <c r="D21" s="12" t="s">
        <v>20</v>
      </c>
      <c r="E21" s="13" t="s">
        <v>222</v>
      </c>
      <c r="F21" s="22" t="s">
        <v>4</v>
      </c>
      <c r="G21" s="13" t="s">
        <v>0</v>
      </c>
      <c r="H21" s="12" t="s">
        <v>282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50.75" customHeight="1" thickBot="1" x14ac:dyDescent="0.3">
      <c r="A22" s="50"/>
      <c r="B22" s="24" t="s">
        <v>21</v>
      </c>
      <c r="C22" s="12" t="s">
        <v>118</v>
      </c>
      <c r="D22" s="12" t="s">
        <v>20</v>
      </c>
      <c r="E22" s="13" t="s">
        <v>119</v>
      </c>
      <c r="F22" s="22" t="s">
        <v>4</v>
      </c>
      <c r="G22" s="13" t="s">
        <v>0</v>
      </c>
      <c r="H22" s="12" t="s">
        <v>282</v>
      </c>
      <c r="I22" s="11">
        <v>1000</v>
      </c>
      <c r="J22" s="10"/>
      <c r="K22" s="9">
        <v>1000</v>
      </c>
      <c r="L22" s="8">
        <f t="shared" si="0"/>
        <v>0</v>
      </c>
    </row>
    <row r="23" spans="1:12" ht="150.75" customHeight="1" thickBot="1" x14ac:dyDescent="0.3">
      <c r="A23" s="50"/>
      <c r="B23" s="24" t="s">
        <v>21</v>
      </c>
      <c r="C23" s="12" t="s">
        <v>3</v>
      </c>
      <c r="D23" s="12" t="s">
        <v>20</v>
      </c>
      <c r="E23" s="13" t="s">
        <v>56</v>
      </c>
      <c r="F23" s="22" t="s">
        <v>9</v>
      </c>
      <c r="G23" s="13" t="s">
        <v>0</v>
      </c>
      <c r="H23" s="12" t="s">
        <v>282</v>
      </c>
      <c r="I23" s="11">
        <v>3000</v>
      </c>
      <c r="J23" s="10"/>
      <c r="K23" s="9">
        <v>3000</v>
      </c>
      <c r="L23" s="8">
        <f t="shared" si="0"/>
        <v>0</v>
      </c>
    </row>
    <row r="24" spans="1:12" ht="150.75" customHeight="1" thickBot="1" x14ac:dyDescent="0.3">
      <c r="A24" s="50" t="s">
        <v>19</v>
      </c>
      <c r="B24" s="24" t="s">
        <v>7</v>
      </c>
      <c r="C24" s="12" t="s">
        <v>15</v>
      </c>
      <c r="D24" s="12" t="s">
        <v>14</v>
      </c>
      <c r="E24" s="13" t="s">
        <v>65</v>
      </c>
      <c r="F24" s="22" t="s">
        <v>4</v>
      </c>
      <c r="G24" s="13" t="s">
        <v>0</v>
      </c>
      <c r="H24" s="12" t="s">
        <v>282</v>
      </c>
      <c r="I24" s="11">
        <v>956</v>
      </c>
      <c r="J24" s="10"/>
      <c r="K24" s="9">
        <v>956</v>
      </c>
      <c r="L24" s="8">
        <f t="shared" si="0"/>
        <v>0</v>
      </c>
    </row>
    <row r="25" spans="1:12" ht="150.75" customHeight="1" thickBot="1" x14ac:dyDescent="0.3">
      <c r="A25" s="50"/>
      <c r="B25" s="24" t="s">
        <v>7</v>
      </c>
      <c r="C25" s="12" t="s">
        <v>15</v>
      </c>
      <c r="D25" s="12" t="s">
        <v>14</v>
      </c>
      <c r="E25" s="13" t="s">
        <v>58</v>
      </c>
      <c r="F25" s="22" t="s">
        <v>4</v>
      </c>
      <c r="G25" s="13" t="s">
        <v>0</v>
      </c>
      <c r="H25" s="12" t="s">
        <v>282</v>
      </c>
      <c r="I25" s="11">
        <v>1520</v>
      </c>
      <c r="J25" s="10"/>
      <c r="K25" s="9">
        <v>1520</v>
      </c>
      <c r="L25" s="8">
        <f t="shared" si="0"/>
        <v>0</v>
      </c>
    </row>
    <row r="26" spans="1:12" ht="150.75" customHeight="1" thickBot="1" x14ac:dyDescent="0.3">
      <c r="A26" s="50"/>
      <c r="B26" s="24" t="s">
        <v>7</v>
      </c>
      <c r="C26" s="12" t="s">
        <v>15</v>
      </c>
      <c r="D26" s="12" t="s">
        <v>14</v>
      </c>
      <c r="E26" s="13" t="s">
        <v>13</v>
      </c>
      <c r="F26" s="22" t="s">
        <v>4</v>
      </c>
      <c r="G26" s="13" t="s">
        <v>0</v>
      </c>
      <c r="H26" s="12" t="s">
        <v>282</v>
      </c>
      <c r="I26" s="11">
        <v>1370</v>
      </c>
      <c r="J26" s="10"/>
      <c r="K26" s="9">
        <v>1370</v>
      </c>
      <c r="L26" s="8">
        <f t="shared" si="0"/>
        <v>0</v>
      </c>
    </row>
  </sheetData>
  <autoFilter ref="A2:L26"/>
  <dataConsolidate/>
  <mergeCells count="5">
    <mergeCell ref="A1:L1"/>
    <mergeCell ref="A3:A9"/>
    <mergeCell ref="A10:A19"/>
    <mergeCell ref="A20:A23"/>
    <mergeCell ref="A24:A26"/>
  </mergeCells>
  <conditionalFormatting sqref="K3:L25 I2:I25">
    <cfRule type="cellIs" dxfId="114" priority="3" operator="lessThan">
      <formula>0</formula>
    </cfRule>
  </conditionalFormatting>
  <conditionalFormatting sqref="L2">
    <cfRule type="cellIs" dxfId="113" priority="2" operator="lessThan">
      <formula>0</formula>
    </cfRule>
  </conditionalFormatting>
  <conditionalFormatting sqref="I26 K26:L26">
    <cfRule type="cellIs" dxfId="112" priority="1" operator="lessThan">
      <formula>0</formula>
    </cfRule>
  </conditionalFormatting>
  <printOptions horizontalCentered="1"/>
  <pageMargins left="0" right="0" top="0" bottom="0" header="0" footer="0"/>
  <pageSetup paperSize="9" scale="11" fitToHeight="0" orientation="portrait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4"/>
  <sheetViews>
    <sheetView showGridLines="0" view="pageBreakPreview" topLeftCell="A32" zoomScale="20" zoomScaleNormal="27" zoomScaleSheetLayoutView="20" workbookViewId="0">
      <selection activeCell="K45" sqref="K45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296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136</v>
      </c>
      <c r="C3" s="12" t="s">
        <v>118</v>
      </c>
      <c r="D3" s="12" t="s">
        <v>126</v>
      </c>
      <c r="E3" s="13" t="s">
        <v>169</v>
      </c>
      <c r="F3" s="22" t="s">
        <v>122</v>
      </c>
      <c r="G3" s="13" t="s">
        <v>0</v>
      </c>
      <c r="H3" s="12" t="s">
        <v>282</v>
      </c>
      <c r="I3" s="11">
        <v>5000</v>
      </c>
      <c r="J3" s="10">
        <v>1000</v>
      </c>
      <c r="K3" s="9">
        <v>4000</v>
      </c>
      <c r="L3" s="8">
        <f t="shared" ref="L3:L44" si="0">K3+J3-I3</f>
        <v>0</v>
      </c>
    </row>
    <row r="4" spans="1:12" ht="150.75" customHeight="1" thickBot="1" x14ac:dyDescent="0.3">
      <c r="A4" s="47"/>
      <c r="B4" s="13" t="s">
        <v>136</v>
      </c>
      <c r="C4" s="12" t="s">
        <v>3</v>
      </c>
      <c r="D4" s="12" t="s">
        <v>126</v>
      </c>
      <c r="E4" s="13" t="s">
        <v>153</v>
      </c>
      <c r="F4" s="22" t="s">
        <v>122</v>
      </c>
      <c r="G4" s="13" t="s">
        <v>0</v>
      </c>
      <c r="H4" s="12" t="s">
        <v>282</v>
      </c>
      <c r="I4" s="11">
        <v>7000</v>
      </c>
      <c r="J4" s="10">
        <v>1000</v>
      </c>
      <c r="K4" s="9">
        <v>6000</v>
      </c>
      <c r="L4" s="8">
        <f t="shared" si="0"/>
        <v>0</v>
      </c>
    </row>
    <row r="5" spans="1:12" ht="150.75" customHeight="1" thickBot="1" x14ac:dyDescent="0.3">
      <c r="A5" s="47"/>
      <c r="B5" s="13" t="s">
        <v>66</v>
      </c>
      <c r="C5" s="12" t="s">
        <v>62</v>
      </c>
      <c r="D5" s="12" t="s">
        <v>24</v>
      </c>
      <c r="E5" s="13" t="s">
        <v>184</v>
      </c>
      <c r="F5" s="22" t="s">
        <v>4</v>
      </c>
      <c r="G5" s="13" t="s">
        <v>37</v>
      </c>
      <c r="H5" s="12" t="s">
        <v>282</v>
      </c>
      <c r="I5" s="11">
        <v>135</v>
      </c>
      <c r="J5" s="10"/>
      <c r="K5" s="9">
        <v>135</v>
      </c>
      <c r="L5" s="8">
        <f t="shared" si="0"/>
        <v>0</v>
      </c>
    </row>
    <row r="6" spans="1:12" ht="150.75" customHeight="1" thickBot="1" x14ac:dyDescent="0.3">
      <c r="A6" s="47"/>
      <c r="B6" s="13" t="s">
        <v>66</v>
      </c>
      <c r="C6" s="12" t="s">
        <v>62</v>
      </c>
      <c r="D6" s="12" t="s">
        <v>24</v>
      </c>
      <c r="E6" s="13" t="s">
        <v>63</v>
      </c>
      <c r="F6" s="22" t="s">
        <v>4</v>
      </c>
      <c r="G6" s="13" t="s">
        <v>0</v>
      </c>
      <c r="H6" s="12" t="s">
        <v>282</v>
      </c>
      <c r="I6" s="11">
        <v>890</v>
      </c>
      <c r="J6" s="10"/>
      <c r="K6" s="9">
        <v>890</v>
      </c>
      <c r="L6" s="8">
        <f t="shared" si="0"/>
        <v>0</v>
      </c>
    </row>
    <row r="7" spans="1:12" ht="150.75" customHeight="1" thickBot="1" x14ac:dyDescent="0.3">
      <c r="A7" s="47"/>
      <c r="B7" s="13" t="s">
        <v>38</v>
      </c>
      <c r="C7" s="12" t="s">
        <v>15</v>
      </c>
      <c r="D7" s="12" t="s">
        <v>24</v>
      </c>
      <c r="E7" s="13" t="s">
        <v>96</v>
      </c>
      <c r="F7" s="22" t="s">
        <v>4</v>
      </c>
      <c r="G7" s="13" t="s">
        <v>0</v>
      </c>
      <c r="H7" s="12" t="s">
        <v>282</v>
      </c>
      <c r="I7" s="11">
        <v>1950</v>
      </c>
      <c r="J7" s="10"/>
      <c r="K7" s="9">
        <v>1950</v>
      </c>
      <c r="L7" s="8">
        <f t="shared" si="0"/>
        <v>0</v>
      </c>
    </row>
    <row r="8" spans="1:12" ht="150.75" customHeight="1" thickBot="1" x14ac:dyDescent="0.3">
      <c r="A8" s="47"/>
      <c r="B8" s="24" t="s">
        <v>77</v>
      </c>
      <c r="C8" s="12" t="s">
        <v>27</v>
      </c>
      <c r="D8" s="12" t="s">
        <v>24</v>
      </c>
      <c r="E8" s="13" t="s">
        <v>76</v>
      </c>
      <c r="F8" s="22" t="s">
        <v>4</v>
      </c>
      <c r="G8" s="13" t="s">
        <v>0</v>
      </c>
      <c r="H8" s="12" t="s">
        <v>282</v>
      </c>
      <c r="I8" s="11">
        <v>1120</v>
      </c>
      <c r="J8" s="10">
        <v>500</v>
      </c>
      <c r="K8" s="9">
        <v>620</v>
      </c>
      <c r="L8" s="8">
        <f t="shared" si="0"/>
        <v>0</v>
      </c>
    </row>
    <row r="9" spans="1:12" ht="150.75" customHeight="1" thickBot="1" x14ac:dyDescent="0.3">
      <c r="A9" s="47"/>
      <c r="B9" s="24" t="s">
        <v>77</v>
      </c>
      <c r="C9" s="12" t="s">
        <v>27</v>
      </c>
      <c r="D9" s="12" t="s">
        <v>24</v>
      </c>
      <c r="E9" s="13" t="s">
        <v>55</v>
      </c>
      <c r="F9" s="22" t="s">
        <v>9</v>
      </c>
      <c r="G9" s="13" t="s">
        <v>0</v>
      </c>
      <c r="H9" s="12" t="s">
        <v>282</v>
      </c>
      <c r="I9" s="11">
        <v>3000</v>
      </c>
      <c r="J9" s="10"/>
      <c r="K9" s="9">
        <v>3000</v>
      </c>
      <c r="L9" s="8">
        <f t="shared" si="0"/>
        <v>0</v>
      </c>
    </row>
    <row r="10" spans="1:12" ht="150.75" customHeight="1" thickBot="1" x14ac:dyDescent="0.3">
      <c r="A10" s="47"/>
      <c r="B10" s="24" t="s">
        <v>32</v>
      </c>
      <c r="C10" s="12" t="s">
        <v>31</v>
      </c>
      <c r="D10" s="12" t="s">
        <v>24</v>
      </c>
      <c r="E10" s="13" t="s">
        <v>297</v>
      </c>
      <c r="F10" s="22" t="s">
        <v>9</v>
      </c>
      <c r="G10" s="13" t="s">
        <v>0</v>
      </c>
      <c r="H10" s="12" t="s">
        <v>295</v>
      </c>
      <c r="I10" s="11">
        <v>2450</v>
      </c>
      <c r="J10" s="10">
        <v>450</v>
      </c>
      <c r="K10" s="9">
        <v>2000</v>
      </c>
      <c r="L10" s="8">
        <f t="shared" si="0"/>
        <v>0</v>
      </c>
    </row>
    <row r="11" spans="1:12" ht="150.75" customHeight="1" thickBot="1" x14ac:dyDescent="0.3">
      <c r="A11" s="48"/>
      <c r="B11" s="24" t="s">
        <v>28</v>
      </c>
      <c r="C11" s="12" t="s">
        <v>155</v>
      </c>
      <c r="D11" s="22" t="s">
        <v>24</v>
      </c>
      <c r="E11" s="13" t="s">
        <v>156</v>
      </c>
      <c r="F11" s="22" t="s">
        <v>4</v>
      </c>
      <c r="G11" s="13" t="s">
        <v>0</v>
      </c>
      <c r="H11" s="12" t="s">
        <v>282</v>
      </c>
      <c r="I11" s="11">
        <v>2770</v>
      </c>
      <c r="J11" s="10"/>
      <c r="K11" s="9">
        <v>2770</v>
      </c>
      <c r="L11" s="8">
        <f t="shared" si="0"/>
        <v>0</v>
      </c>
    </row>
    <row r="12" spans="1:12" ht="150.75" customHeight="1" thickBot="1" x14ac:dyDescent="0.3">
      <c r="A12" s="46" t="s">
        <v>36</v>
      </c>
      <c r="B12" s="24" t="s">
        <v>28</v>
      </c>
      <c r="C12" s="12" t="s">
        <v>155</v>
      </c>
      <c r="D12" s="22" t="s">
        <v>24</v>
      </c>
      <c r="E12" s="13" t="s">
        <v>156</v>
      </c>
      <c r="F12" s="22" t="s">
        <v>4</v>
      </c>
      <c r="G12" s="13" t="s">
        <v>0</v>
      </c>
      <c r="H12" s="12" t="s">
        <v>282</v>
      </c>
      <c r="I12" s="11">
        <v>2770</v>
      </c>
      <c r="J12" s="10">
        <v>500</v>
      </c>
      <c r="K12" s="9">
        <v>2270</v>
      </c>
      <c r="L12" s="8">
        <f t="shared" si="0"/>
        <v>0</v>
      </c>
    </row>
    <row r="13" spans="1:12" ht="150.75" customHeight="1" thickBot="1" x14ac:dyDescent="0.3">
      <c r="A13" s="47"/>
      <c r="B13" s="24" t="s">
        <v>66</v>
      </c>
      <c r="C13" s="12" t="s">
        <v>62</v>
      </c>
      <c r="D13" s="12" t="s">
        <v>24</v>
      </c>
      <c r="E13" s="13" t="s">
        <v>63</v>
      </c>
      <c r="F13" s="22" t="s">
        <v>4</v>
      </c>
      <c r="G13" s="13" t="s">
        <v>0</v>
      </c>
      <c r="H13" s="12" t="s">
        <v>282</v>
      </c>
      <c r="I13" s="11">
        <v>500</v>
      </c>
      <c r="J13" s="10"/>
      <c r="K13" s="9">
        <v>500</v>
      </c>
      <c r="L13" s="8">
        <f t="shared" si="0"/>
        <v>0</v>
      </c>
    </row>
    <row r="14" spans="1:12" ht="150.75" customHeight="1" thickBot="1" x14ac:dyDescent="0.3">
      <c r="A14" s="47"/>
      <c r="B14" s="24" t="s">
        <v>35</v>
      </c>
      <c r="C14" s="12" t="s">
        <v>34</v>
      </c>
      <c r="D14" s="12" t="s">
        <v>24</v>
      </c>
      <c r="E14" s="13" t="s">
        <v>33</v>
      </c>
      <c r="F14" s="22" t="s">
        <v>4</v>
      </c>
      <c r="G14" s="13" t="s">
        <v>0</v>
      </c>
      <c r="H14" s="12" t="s">
        <v>282</v>
      </c>
      <c r="I14" s="11">
        <v>1288</v>
      </c>
      <c r="J14" s="10"/>
      <c r="K14" s="9">
        <v>1288</v>
      </c>
      <c r="L14" s="8">
        <f t="shared" si="0"/>
        <v>0</v>
      </c>
    </row>
    <row r="15" spans="1:12" ht="150.75" customHeight="1" thickBot="1" x14ac:dyDescent="0.3">
      <c r="A15" s="47"/>
      <c r="B15" s="24" t="s">
        <v>61</v>
      </c>
      <c r="C15" s="12" t="s">
        <v>31</v>
      </c>
      <c r="D15" s="12" t="s">
        <v>24</v>
      </c>
      <c r="E15" s="13" t="s">
        <v>171</v>
      </c>
      <c r="F15" s="22" t="s">
        <v>4</v>
      </c>
      <c r="G15" s="13" t="s">
        <v>0</v>
      </c>
      <c r="H15" s="12" t="s">
        <v>282</v>
      </c>
      <c r="I15" s="11">
        <v>1000</v>
      </c>
      <c r="J15" s="10">
        <v>1000</v>
      </c>
      <c r="K15" s="9"/>
      <c r="L15" s="8">
        <f t="shared" si="0"/>
        <v>0</v>
      </c>
    </row>
    <row r="16" spans="1:12" ht="150.75" customHeight="1" thickBot="1" x14ac:dyDescent="0.3">
      <c r="A16" s="47"/>
      <c r="B16" s="24" t="s">
        <v>61</v>
      </c>
      <c r="C16" s="12" t="s">
        <v>31</v>
      </c>
      <c r="D16" s="12" t="s">
        <v>24</v>
      </c>
      <c r="E16" s="13" t="s">
        <v>116</v>
      </c>
      <c r="F16" s="22" t="s">
        <v>9</v>
      </c>
      <c r="G16" s="13" t="s">
        <v>0</v>
      </c>
      <c r="H16" s="12" t="s">
        <v>295</v>
      </c>
      <c r="I16" s="11">
        <v>1000</v>
      </c>
      <c r="J16" s="10"/>
      <c r="K16" s="9">
        <v>1000</v>
      </c>
      <c r="L16" s="8">
        <f t="shared" si="0"/>
        <v>0</v>
      </c>
    </row>
    <row r="17" spans="1:12" ht="150.75" customHeight="1" thickBot="1" x14ac:dyDescent="0.3">
      <c r="A17" s="47"/>
      <c r="B17" s="24" t="s">
        <v>32</v>
      </c>
      <c r="C17" s="12" t="s">
        <v>31</v>
      </c>
      <c r="D17" s="12" t="s">
        <v>24</v>
      </c>
      <c r="E17" s="13" t="s">
        <v>297</v>
      </c>
      <c r="F17" s="22" t="s">
        <v>9</v>
      </c>
      <c r="G17" s="13" t="s">
        <v>0</v>
      </c>
      <c r="H17" s="12" t="s">
        <v>295</v>
      </c>
      <c r="I17" s="11">
        <v>2450</v>
      </c>
      <c r="J17" s="10"/>
      <c r="K17" s="9">
        <v>2450</v>
      </c>
      <c r="L17" s="8">
        <f t="shared" si="0"/>
        <v>0</v>
      </c>
    </row>
    <row r="18" spans="1:12" ht="150.75" customHeight="1" thickBot="1" x14ac:dyDescent="0.3">
      <c r="A18" s="47"/>
      <c r="B18" s="24" t="s">
        <v>38</v>
      </c>
      <c r="C18" s="12" t="s">
        <v>15</v>
      </c>
      <c r="D18" s="12" t="s">
        <v>24</v>
      </c>
      <c r="E18" s="13" t="s">
        <v>96</v>
      </c>
      <c r="F18" s="22" t="s">
        <v>4</v>
      </c>
      <c r="G18" s="13" t="s">
        <v>0</v>
      </c>
      <c r="H18" s="12" t="s">
        <v>282</v>
      </c>
      <c r="I18" s="11">
        <v>2000</v>
      </c>
      <c r="J18" s="10"/>
      <c r="K18" s="9">
        <v>2000</v>
      </c>
      <c r="L18" s="8">
        <f t="shared" si="0"/>
        <v>0</v>
      </c>
    </row>
    <row r="19" spans="1:12" ht="150.75" customHeight="1" thickBot="1" x14ac:dyDescent="0.3">
      <c r="A19" s="47"/>
      <c r="B19" s="24" t="s">
        <v>77</v>
      </c>
      <c r="C19" s="12" t="s">
        <v>27</v>
      </c>
      <c r="D19" s="12" t="s">
        <v>24</v>
      </c>
      <c r="E19" s="13" t="s">
        <v>76</v>
      </c>
      <c r="F19" s="22" t="s">
        <v>4</v>
      </c>
      <c r="G19" s="13" t="s">
        <v>0</v>
      </c>
      <c r="H19" s="12" t="s">
        <v>282</v>
      </c>
      <c r="I19" s="11">
        <v>3000</v>
      </c>
      <c r="J19" s="10">
        <v>1000</v>
      </c>
      <c r="K19" s="9">
        <v>2000</v>
      </c>
      <c r="L19" s="8">
        <f t="shared" si="0"/>
        <v>0</v>
      </c>
    </row>
    <row r="20" spans="1:12" ht="150.75" customHeight="1" thickBot="1" x14ac:dyDescent="0.3">
      <c r="A20" s="47"/>
      <c r="B20" s="24" t="s">
        <v>112</v>
      </c>
      <c r="C20" s="12" t="s">
        <v>113</v>
      </c>
      <c r="D20" s="12" t="s">
        <v>24</v>
      </c>
      <c r="E20" s="13" t="s">
        <v>114</v>
      </c>
      <c r="F20" s="22" t="s">
        <v>4</v>
      </c>
      <c r="G20" s="13" t="s">
        <v>8</v>
      </c>
      <c r="H20" s="12" t="s">
        <v>282</v>
      </c>
      <c r="I20" s="11">
        <v>50</v>
      </c>
      <c r="J20" s="10"/>
      <c r="K20" s="9">
        <v>50</v>
      </c>
      <c r="L20" s="8">
        <f t="shared" si="0"/>
        <v>0</v>
      </c>
    </row>
    <row r="21" spans="1:12" ht="150.75" customHeight="1" thickBot="1" x14ac:dyDescent="0.3">
      <c r="A21" s="48"/>
      <c r="B21" s="24" t="s">
        <v>112</v>
      </c>
      <c r="C21" s="12" t="s">
        <v>113</v>
      </c>
      <c r="D21" s="12" t="s">
        <v>24</v>
      </c>
      <c r="E21" s="13" t="s">
        <v>292</v>
      </c>
      <c r="F21" s="22" t="s">
        <v>4</v>
      </c>
      <c r="G21" s="13" t="s">
        <v>0</v>
      </c>
      <c r="H21" s="12" t="s">
        <v>282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50.75" customHeight="1" thickBot="1" x14ac:dyDescent="0.3">
      <c r="A22" s="46" t="s">
        <v>23</v>
      </c>
      <c r="B22" s="24" t="s">
        <v>12</v>
      </c>
      <c r="C22" s="12" t="s">
        <v>6</v>
      </c>
      <c r="D22" s="12" t="s">
        <v>20</v>
      </c>
      <c r="E22" s="13" t="s">
        <v>22</v>
      </c>
      <c r="F22" s="22" t="s">
        <v>4</v>
      </c>
      <c r="G22" s="13" t="s">
        <v>0</v>
      </c>
      <c r="H22" s="12" t="s">
        <v>282</v>
      </c>
      <c r="I22" s="11">
        <v>3192</v>
      </c>
      <c r="J22" s="10"/>
      <c r="K22" s="9">
        <v>3192</v>
      </c>
      <c r="L22" s="8">
        <f t="shared" si="0"/>
        <v>0</v>
      </c>
    </row>
    <row r="23" spans="1:12" ht="150.75" customHeight="1" thickBot="1" x14ac:dyDescent="0.3">
      <c r="A23" s="47"/>
      <c r="B23" s="24" t="s">
        <v>21</v>
      </c>
      <c r="C23" s="12" t="s">
        <v>118</v>
      </c>
      <c r="D23" s="12" t="s">
        <v>20</v>
      </c>
      <c r="E23" s="13" t="s">
        <v>222</v>
      </c>
      <c r="F23" s="22" t="s">
        <v>4</v>
      </c>
      <c r="G23" s="13" t="s">
        <v>0</v>
      </c>
      <c r="H23" s="12" t="s">
        <v>282</v>
      </c>
      <c r="I23" s="11">
        <v>2430</v>
      </c>
      <c r="J23" s="10">
        <v>1000</v>
      </c>
      <c r="K23" s="9">
        <v>1430</v>
      </c>
      <c r="L23" s="8">
        <f t="shared" si="0"/>
        <v>0</v>
      </c>
    </row>
    <row r="24" spans="1:12" ht="150.75" customHeight="1" thickBot="1" x14ac:dyDescent="0.3">
      <c r="A24" s="47"/>
      <c r="B24" s="24" t="s">
        <v>21</v>
      </c>
      <c r="C24" s="12" t="s">
        <v>118</v>
      </c>
      <c r="D24" s="12" t="s">
        <v>20</v>
      </c>
      <c r="E24" s="13" t="s">
        <v>119</v>
      </c>
      <c r="F24" s="22" t="s">
        <v>4</v>
      </c>
      <c r="G24" s="13" t="s">
        <v>0</v>
      </c>
      <c r="H24" s="12" t="s">
        <v>282</v>
      </c>
      <c r="I24" s="11">
        <v>1905</v>
      </c>
      <c r="J24" s="10"/>
      <c r="K24" s="9">
        <v>1905</v>
      </c>
      <c r="L24" s="8">
        <f t="shared" si="0"/>
        <v>0</v>
      </c>
    </row>
    <row r="25" spans="1:12" ht="150.75" customHeight="1" thickBot="1" x14ac:dyDescent="0.3">
      <c r="A25" s="48"/>
      <c r="B25" s="24" t="s">
        <v>21</v>
      </c>
      <c r="C25" s="12" t="s">
        <v>3</v>
      </c>
      <c r="D25" s="12" t="s">
        <v>20</v>
      </c>
      <c r="E25" s="13" t="s">
        <v>56</v>
      </c>
      <c r="F25" s="22" t="s">
        <v>9</v>
      </c>
      <c r="G25" s="13" t="s">
        <v>0</v>
      </c>
      <c r="H25" s="12" t="s">
        <v>295</v>
      </c>
      <c r="I25" s="11">
        <v>6000</v>
      </c>
      <c r="J25" s="10"/>
      <c r="K25" s="9">
        <v>6000</v>
      </c>
      <c r="L25" s="8">
        <f t="shared" si="0"/>
        <v>0</v>
      </c>
    </row>
    <row r="26" spans="1:12" ht="150.75" customHeight="1" thickBot="1" x14ac:dyDescent="0.3">
      <c r="A26" s="46" t="s">
        <v>54</v>
      </c>
      <c r="B26" s="24" t="s">
        <v>223</v>
      </c>
      <c r="C26" s="12" t="s">
        <v>224</v>
      </c>
      <c r="D26" s="12" t="s">
        <v>60</v>
      </c>
      <c r="E26" s="13" t="s">
        <v>298</v>
      </c>
      <c r="F26" s="22" t="s">
        <v>4</v>
      </c>
      <c r="G26" s="13" t="s">
        <v>37</v>
      </c>
      <c r="H26" s="12" t="s">
        <v>301</v>
      </c>
      <c r="I26" s="11">
        <v>223</v>
      </c>
      <c r="J26" s="10"/>
      <c r="K26" s="9">
        <v>223</v>
      </c>
      <c r="L26" s="8">
        <f t="shared" si="0"/>
        <v>0</v>
      </c>
    </row>
    <row r="27" spans="1:12" ht="150.75" customHeight="1" thickBot="1" x14ac:dyDescent="0.3">
      <c r="A27" s="47"/>
      <c r="B27" s="24" t="s">
        <v>223</v>
      </c>
      <c r="C27" s="12" t="s">
        <v>224</v>
      </c>
      <c r="D27" s="12" t="s">
        <v>60</v>
      </c>
      <c r="E27" s="13" t="s">
        <v>299</v>
      </c>
      <c r="F27" s="22" t="s">
        <v>4</v>
      </c>
      <c r="G27" s="13" t="s">
        <v>37</v>
      </c>
      <c r="H27" s="12" t="s">
        <v>301</v>
      </c>
      <c r="I27" s="11">
        <v>216</v>
      </c>
      <c r="J27" s="10"/>
      <c r="K27" s="9">
        <v>216</v>
      </c>
      <c r="L27" s="8">
        <f t="shared" si="0"/>
        <v>0</v>
      </c>
    </row>
    <row r="28" spans="1:12" ht="150.75" customHeight="1" thickBot="1" x14ac:dyDescent="0.3">
      <c r="A28" s="47"/>
      <c r="B28" s="24" t="s">
        <v>223</v>
      </c>
      <c r="C28" s="12" t="s">
        <v>224</v>
      </c>
      <c r="D28" s="12" t="s">
        <v>60</v>
      </c>
      <c r="E28" s="13" t="s">
        <v>300</v>
      </c>
      <c r="F28" s="22" t="s">
        <v>4</v>
      </c>
      <c r="G28" s="13" t="s">
        <v>37</v>
      </c>
      <c r="H28" s="12" t="s">
        <v>301</v>
      </c>
      <c r="I28" s="11">
        <v>400</v>
      </c>
      <c r="J28" s="10">
        <v>400</v>
      </c>
      <c r="K28" s="9"/>
      <c r="L28" s="8">
        <f t="shared" si="0"/>
        <v>0</v>
      </c>
    </row>
    <row r="29" spans="1:12" ht="150.75" customHeight="1" thickBot="1" x14ac:dyDescent="0.3">
      <c r="A29" s="47"/>
      <c r="B29" s="24" t="s">
        <v>104</v>
      </c>
      <c r="C29" s="12" t="s">
        <v>188</v>
      </c>
      <c r="D29" s="12" t="s">
        <v>60</v>
      </c>
      <c r="E29" s="13" t="s">
        <v>199</v>
      </c>
      <c r="F29" s="22" t="s">
        <v>64</v>
      </c>
      <c r="G29" s="13" t="s">
        <v>37</v>
      </c>
      <c r="H29" s="12" t="s">
        <v>282</v>
      </c>
      <c r="I29" s="11">
        <v>5</v>
      </c>
      <c r="J29" s="10"/>
      <c r="K29" s="9">
        <v>5</v>
      </c>
      <c r="L29" s="8">
        <f t="shared" si="0"/>
        <v>0</v>
      </c>
    </row>
    <row r="30" spans="1:12" ht="150.75" customHeight="1" thickBot="1" x14ac:dyDescent="0.3">
      <c r="A30" s="47"/>
      <c r="B30" s="24" t="s">
        <v>104</v>
      </c>
      <c r="C30" s="12" t="s">
        <v>188</v>
      </c>
      <c r="D30" s="12" t="s">
        <v>60</v>
      </c>
      <c r="E30" s="13" t="s">
        <v>204</v>
      </c>
      <c r="F30" s="22" t="s">
        <v>64</v>
      </c>
      <c r="G30" s="13" t="s">
        <v>37</v>
      </c>
      <c r="H30" s="12" t="s">
        <v>282</v>
      </c>
      <c r="I30" s="11">
        <v>300</v>
      </c>
      <c r="J30" s="10"/>
      <c r="K30" s="9">
        <v>300</v>
      </c>
      <c r="L30" s="8">
        <f t="shared" si="0"/>
        <v>0</v>
      </c>
    </row>
    <row r="31" spans="1:12" ht="150.75" customHeight="1" thickBot="1" x14ac:dyDescent="0.3">
      <c r="A31" s="47"/>
      <c r="B31" s="24" t="s">
        <v>104</v>
      </c>
      <c r="C31" s="12" t="s">
        <v>188</v>
      </c>
      <c r="D31" s="12" t="s">
        <v>60</v>
      </c>
      <c r="E31" s="13" t="s">
        <v>302</v>
      </c>
      <c r="F31" s="22" t="s">
        <v>64</v>
      </c>
      <c r="G31" s="13" t="s">
        <v>37</v>
      </c>
      <c r="H31" s="12" t="s">
        <v>282</v>
      </c>
      <c r="I31" s="11">
        <v>5</v>
      </c>
      <c r="J31" s="10"/>
      <c r="K31" s="9">
        <v>5</v>
      </c>
      <c r="L31" s="8">
        <f t="shared" si="0"/>
        <v>0</v>
      </c>
    </row>
    <row r="32" spans="1:12" ht="150.75" customHeight="1" thickBot="1" x14ac:dyDescent="0.3">
      <c r="A32" s="47"/>
      <c r="B32" s="24" t="s">
        <v>104</v>
      </c>
      <c r="C32" s="12" t="s">
        <v>188</v>
      </c>
      <c r="D32" s="12" t="s">
        <v>60</v>
      </c>
      <c r="E32" s="13" t="s">
        <v>190</v>
      </c>
      <c r="F32" s="22" t="s">
        <v>64</v>
      </c>
      <c r="G32" s="13" t="s">
        <v>37</v>
      </c>
      <c r="H32" s="12" t="s">
        <v>282</v>
      </c>
      <c r="I32" s="11">
        <v>8</v>
      </c>
      <c r="J32" s="10"/>
      <c r="K32" s="9">
        <v>8</v>
      </c>
      <c r="L32" s="8">
        <f t="shared" si="0"/>
        <v>0</v>
      </c>
    </row>
    <row r="33" spans="1:12" ht="150.75" customHeight="1" thickBot="1" x14ac:dyDescent="0.3">
      <c r="A33" s="47"/>
      <c r="B33" s="24" t="s">
        <v>104</v>
      </c>
      <c r="C33" s="12" t="s">
        <v>235</v>
      </c>
      <c r="D33" s="12" t="s">
        <v>60</v>
      </c>
      <c r="E33" s="13" t="s">
        <v>303</v>
      </c>
      <c r="F33" s="22" t="s">
        <v>64</v>
      </c>
      <c r="G33" s="13" t="s">
        <v>37</v>
      </c>
      <c r="H33" s="12" t="s">
        <v>282</v>
      </c>
      <c r="I33" s="11">
        <v>197</v>
      </c>
      <c r="J33" s="10"/>
      <c r="K33" s="9">
        <v>197</v>
      </c>
      <c r="L33" s="8">
        <f t="shared" si="0"/>
        <v>0</v>
      </c>
    </row>
    <row r="34" spans="1:12" ht="150.75" customHeight="1" thickBot="1" x14ac:dyDescent="0.3">
      <c r="A34" s="47"/>
      <c r="B34" s="24" t="s">
        <v>104</v>
      </c>
      <c r="C34" s="12" t="s">
        <v>235</v>
      </c>
      <c r="D34" s="12" t="s">
        <v>60</v>
      </c>
      <c r="E34" s="13" t="s">
        <v>304</v>
      </c>
      <c r="F34" s="22" t="s">
        <v>64</v>
      </c>
      <c r="G34" s="13" t="s">
        <v>37</v>
      </c>
      <c r="H34" s="12" t="s">
        <v>282</v>
      </c>
      <c r="I34" s="11">
        <v>29</v>
      </c>
      <c r="J34" s="10"/>
      <c r="K34" s="9">
        <v>29</v>
      </c>
      <c r="L34" s="8">
        <f t="shared" si="0"/>
        <v>0</v>
      </c>
    </row>
    <row r="35" spans="1:12" ht="150.75" customHeight="1" thickBot="1" x14ac:dyDescent="0.3">
      <c r="A35" s="47"/>
      <c r="B35" s="24" t="s">
        <v>104</v>
      </c>
      <c r="C35" s="12" t="s">
        <v>235</v>
      </c>
      <c r="D35" s="12" t="s">
        <v>60</v>
      </c>
      <c r="E35" s="13" t="s">
        <v>305</v>
      </c>
      <c r="F35" s="22" t="s">
        <v>64</v>
      </c>
      <c r="G35" s="13" t="s">
        <v>37</v>
      </c>
      <c r="H35" s="12" t="s">
        <v>282</v>
      </c>
      <c r="I35" s="11">
        <v>101</v>
      </c>
      <c r="J35" s="10"/>
      <c r="K35" s="9">
        <v>101</v>
      </c>
      <c r="L35" s="8">
        <f t="shared" si="0"/>
        <v>0</v>
      </c>
    </row>
    <row r="36" spans="1:12" ht="150.75" customHeight="1" thickBot="1" x14ac:dyDescent="0.3">
      <c r="A36" s="47"/>
      <c r="B36" s="24" t="s">
        <v>104</v>
      </c>
      <c r="C36" s="12" t="s">
        <v>235</v>
      </c>
      <c r="D36" s="12" t="s">
        <v>60</v>
      </c>
      <c r="E36" s="13" t="s">
        <v>306</v>
      </c>
      <c r="F36" s="22" t="s">
        <v>64</v>
      </c>
      <c r="G36" s="13" t="s">
        <v>37</v>
      </c>
      <c r="H36" s="12" t="s">
        <v>282</v>
      </c>
      <c r="I36" s="11">
        <v>1</v>
      </c>
      <c r="J36" s="10"/>
      <c r="K36" s="9">
        <v>1</v>
      </c>
      <c r="L36" s="8">
        <f t="shared" si="0"/>
        <v>0</v>
      </c>
    </row>
    <row r="37" spans="1:12" ht="150.75" customHeight="1" thickBot="1" x14ac:dyDescent="0.3">
      <c r="A37" s="47"/>
      <c r="B37" s="24" t="s">
        <v>104</v>
      </c>
      <c r="C37" s="12" t="s">
        <v>235</v>
      </c>
      <c r="D37" s="12" t="s">
        <v>60</v>
      </c>
      <c r="E37" s="13" t="s">
        <v>307</v>
      </c>
      <c r="F37" s="22" t="s">
        <v>64</v>
      </c>
      <c r="G37" s="13" t="s">
        <v>37</v>
      </c>
      <c r="H37" s="12" t="s">
        <v>282</v>
      </c>
      <c r="I37" s="11">
        <v>90</v>
      </c>
      <c r="J37" s="10"/>
      <c r="K37" s="9">
        <v>90</v>
      </c>
      <c r="L37" s="8">
        <f t="shared" si="0"/>
        <v>0</v>
      </c>
    </row>
    <row r="38" spans="1:12" ht="150.75" customHeight="1" thickBot="1" x14ac:dyDescent="0.3">
      <c r="A38" s="48"/>
      <c r="B38" s="24" t="s">
        <v>104</v>
      </c>
      <c r="C38" s="12" t="s">
        <v>235</v>
      </c>
      <c r="D38" s="12" t="s">
        <v>60</v>
      </c>
      <c r="E38" s="13" t="s">
        <v>308</v>
      </c>
      <c r="F38" s="22" t="s">
        <v>64</v>
      </c>
      <c r="G38" s="13" t="s">
        <v>37</v>
      </c>
      <c r="H38" s="12" t="s">
        <v>282</v>
      </c>
      <c r="I38" s="11">
        <v>201</v>
      </c>
      <c r="J38" s="10"/>
      <c r="K38" s="9">
        <v>201</v>
      </c>
      <c r="L38" s="8">
        <f t="shared" si="0"/>
        <v>0</v>
      </c>
    </row>
    <row r="39" spans="1:12" ht="150.75" customHeight="1" thickBot="1" x14ac:dyDescent="0.3">
      <c r="A39" s="46" t="s">
        <v>19</v>
      </c>
      <c r="B39" s="24" t="s">
        <v>7</v>
      </c>
      <c r="C39" s="12" t="s">
        <v>15</v>
      </c>
      <c r="D39" s="12" t="s">
        <v>14</v>
      </c>
      <c r="E39" s="13" t="s">
        <v>65</v>
      </c>
      <c r="F39" s="22" t="s">
        <v>4</v>
      </c>
      <c r="G39" s="13" t="s">
        <v>0</v>
      </c>
      <c r="H39" s="12" t="s">
        <v>282</v>
      </c>
      <c r="I39" s="11">
        <v>1000</v>
      </c>
      <c r="J39" s="10"/>
      <c r="K39" s="9">
        <v>1000</v>
      </c>
      <c r="L39" s="8">
        <f t="shared" si="0"/>
        <v>0</v>
      </c>
    </row>
    <row r="40" spans="1:12" ht="150.75" customHeight="1" thickBot="1" x14ac:dyDescent="0.3">
      <c r="A40" s="47"/>
      <c r="B40" s="24" t="s">
        <v>7</v>
      </c>
      <c r="C40" s="12" t="s">
        <v>15</v>
      </c>
      <c r="D40" s="12" t="s">
        <v>14</v>
      </c>
      <c r="E40" s="13" t="s">
        <v>58</v>
      </c>
      <c r="F40" s="22" t="s">
        <v>4</v>
      </c>
      <c r="G40" s="13" t="s">
        <v>0</v>
      </c>
      <c r="H40" s="12" t="s">
        <v>282</v>
      </c>
      <c r="I40" s="11">
        <v>3000</v>
      </c>
      <c r="J40" s="10"/>
      <c r="K40" s="9">
        <v>3000</v>
      </c>
      <c r="L40" s="8">
        <f t="shared" si="0"/>
        <v>0</v>
      </c>
    </row>
    <row r="41" spans="1:12" ht="150.75" customHeight="1" thickBot="1" x14ac:dyDescent="0.3">
      <c r="A41" s="47"/>
      <c r="B41" s="24" t="s">
        <v>12</v>
      </c>
      <c r="C41" s="12" t="s">
        <v>118</v>
      </c>
      <c r="D41" s="12" t="s">
        <v>123</v>
      </c>
      <c r="E41" s="13" t="s">
        <v>124</v>
      </c>
      <c r="F41" s="22" t="s">
        <v>4</v>
      </c>
      <c r="G41" s="13" t="s">
        <v>0</v>
      </c>
      <c r="H41" s="12" t="s">
        <v>282</v>
      </c>
      <c r="I41" s="11">
        <v>1170</v>
      </c>
      <c r="J41" s="10">
        <v>500</v>
      </c>
      <c r="K41" s="9">
        <v>670</v>
      </c>
      <c r="L41" s="8">
        <f t="shared" si="0"/>
        <v>0</v>
      </c>
    </row>
    <row r="42" spans="1:12" ht="150.75" customHeight="1" thickBot="1" x14ac:dyDescent="0.3">
      <c r="A42" s="47"/>
      <c r="B42" s="24" t="s">
        <v>12</v>
      </c>
      <c r="C42" s="12" t="s">
        <v>3</v>
      </c>
      <c r="D42" s="12" t="s">
        <v>11</v>
      </c>
      <c r="E42" s="13" t="s">
        <v>10</v>
      </c>
      <c r="F42" s="22" t="s">
        <v>4</v>
      </c>
      <c r="G42" s="13" t="s">
        <v>0</v>
      </c>
      <c r="H42" s="12" t="s">
        <v>282</v>
      </c>
      <c r="I42" s="11">
        <v>6075</v>
      </c>
      <c r="J42" s="10">
        <v>1000</v>
      </c>
      <c r="K42" s="9">
        <v>5075</v>
      </c>
      <c r="L42" s="8">
        <f t="shared" si="0"/>
        <v>0</v>
      </c>
    </row>
    <row r="43" spans="1:12" ht="150.75" customHeight="1" thickBot="1" x14ac:dyDescent="0.3">
      <c r="A43" s="47"/>
      <c r="B43" s="24" t="s">
        <v>7</v>
      </c>
      <c r="C43" s="12" t="s">
        <v>6</v>
      </c>
      <c r="D43" s="12" t="s">
        <v>1</v>
      </c>
      <c r="E43" s="13" t="s">
        <v>5</v>
      </c>
      <c r="F43" s="22" t="s">
        <v>4</v>
      </c>
      <c r="G43" s="13" t="s">
        <v>0</v>
      </c>
      <c r="H43" s="12" t="s">
        <v>282</v>
      </c>
      <c r="I43" s="11">
        <v>4162</v>
      </c>
      <c r="J43" s="10"/>
      <c r="K43" s="9">
        <v>4162</v>
      </c>
      <c r="L43" s="8">
        <f t="shared" si="0"/>
        <v>0</v>
      </c>
    </row>
    <row r="44" spans="1:12" ht="150.75" customHeight="1" thickBot="1" x14ac:dyDescent="0.3">
      <c r="A44" s="48"/>
      <c r="B44" s="24" t="s">
        <v>194</v>
      </c>
      <c r="C44" s="12" t="s">
        <v>3</v>
      </c>
      <c r="D44" s="12" t="s">
        <v>1</v>
      </c>
      <c r="E44" s="13" t="s">
        <v>195</v>
      </c>
      <c r="F44" s="22" t="s">
        <v>122</v>
      </c>
      <c r="G44" s="13" t="s">
        <v>0</v>
      </c>
      <c r="H44" s="12" t="s">
        <v>295</v>
      </c>
      <c r="I44" s="11">
        <v>2500</v>
      </c>
      <c r="J44" s="10"/>
      <c r="K44" s="9">
        <v>2500</v>
      </c>
      <c r="L44" s="8">
        <f t="shared" si="0"/>
        <v>0</v>
      </c>
    </row>
  </sheetData>
  <autoFilter ref="A2:L26"/>
  <dataConsolidate/>
  <mergeCells count="6">
    <mergeCell ref="A39:A44"/>
    <mergeCell ref="A1:L1"/>
    <mergeCell ref="A3:A11"/>
    <mergeCell ref="A12:A21"/>
    <mergeCell ref="A22:A25"/>
    <mergeCell ref="A26:A38"/>
  </mergeCells>
  <conditionalFormatting sqref="K3:L25 I2:I25">
    <cfRule type="cellIs" dxfId="111" priority="4" operator="lessThan">
      <formula>0</formula>
    </cfRule>
  </conditionalFormatting>
  <conditionalFormatting sqref="L2">
    <cfRule type="cellIs" dxfId="110" priority="3" operator="lessThan">
      <formula>0</formula>
    </cfRule>
  </conditionalFormatting>
  <conditionalFormatting sqref="I26 K26:L26 L27:L44">
    <cfRule type="cellIs" dxfId="109" priority="2" operator="lessThan">
      <formula>0</formula>
    </cfRule>
  </conditionalFormatting>
  <conditionalFormatting sqref="I27:I44 K27:K44">
    <cfRule type="cellIs" dxfId="108" priority="1" operator="lessThan">
      <formula>0</formula>
    </cfRule>
  </conditionalFormatting>
  <printOptions horizontalCentered="1"/>
  <pageMargins left="0" right="0" top="0" bottom="0" header="0" footer="0"/>
  <pageSetup paperSize="9" scale="11" fitToHeight="0" orientation="portrait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2"/>
  <sheetViews>
    <sheetView showGridLines="0" view="pageBreakPreview" zoomScale="20" zoomScaleNormal="27" zoomScaleSheetLayoutView="20" workbookViewId="0">
      <selection activeCell="K10" sqref="K10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309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40</v>
      </c>
      <c r="C3" s="12" t="s">
        <v>125</v>
      </c>
      <c r="D3" s="12" t="s">
        <v>126</v>
      </c>
      <c r="E3" s="13" t="s">
        <v>179</v>
      </c>
      <c r="F3" s="22" t="s">
        <v>122</v>
      </c>
      <c r="G3" s="13" t="s">
        <v>0</v>
      </c>
      <c r="H3" s="12" t="s">
        <v>282</v>
      </c>
      <c r="I3" s="11">
        <v>269</v>
      </c>
      <c r="J3" s="10"/>
      <c r="K3" s="9">
        <v>269</v>
      </c>
      <c r="L3" s="8">
        <f t="shared" ref="L3:L32" si="0">K3+J3-I3</f>
        <v>0</v>
      </c>
    </row>
    <row r="4" spans="1:12" ht="150.75" customHeight="1" thickBot="1" x14ac:dyDescent="0.3">
      <c r="A4" s="47"/>
      <c r="B4" s="13" t="s">
        <v>40</v>
      </c>
      <c r="C4" s="12" t="s">
        <v>125</v>
      </c>
      <c r="D4" s="12" t="s">
        <v>126</v>
      </c>
      <c r="E4" s="13" t="s">
        <v>180</v>
      </c>
      <c r="F4" s="22" t="s">
        <v>122</v>
      </c>
      <c r="G4" s="13" t="s">
        <v>0</v>
      </c>
      <c r="H4" s="12" t="s">
        <v>282</v>
      </c>
      <c r="I4" s="11">
        <v>500</v>
      </c>
      <c r="J4" s="10"/>
      <c r="K4" s="9">
        <v>500</v>
      </c>
      <c r="L4" s="8">
        <f t="shared" si="0"/>
        <v>0</v>
      </c>
    </row>
    <row r="5" spans="1:12" ht="150.75" customHeight="1" thickBot="1" x14ac:dyDescent="0.3">
      <c r="A5" s="47"/>
      <c r="B5" s="13" t="s">
        <v>38</v>
      </c>
      <c r="C5" s="12" t="s">
        <v>15</v>
      </c>
      <c r="D5" s="12" t="s">
        <v>24</v>
      </c>
      <c r="E5" s="13" t="s">
        <v>96</v>
      </c>
      <c r="F5" s="22" t="s">
        <v>4</v>
      </c>
      <c r="G5" s="13" t="s">
        <v>0</v>
      </c>
      <c r="H5" s="12" t="s">
        <v>295</v>
      </c>
      <c r="I5" s="11">
        <v>3000</v>
      </c>
      <c r="J5" s="10">
        <v>1000</v>
      </c>
      <c r="K5" s="9">
        <v>2000</v>
      </c>
      <c r="L5" s="8">
        <f t="shared" si="0"/>
        <v>0</v>
      </c>
    </row>
    <row r="6" spans="1:12" ht="150.75" customHeight="1" thickBot="1" x14ac:dyDescent="0.3">
      <c r="A6" s="47"/>
      <c r="B6" s="13" t="s">
        <v>77</v>
      </c>
      <c r="C6" s="12" t="s">
        <v>27</v>
      </c>
      <c r="D6" s="12" t="s">
        <v>24</v>
      </c>
      <c r="E6" s="13" t="s">
        <v>39</v>
      </c>
      <c r="F6" s="22" t="s">
        <v>4</v>
      </c>
      <c r="G6" s="13" t="s">
        <v>0</v>
      </c>
      <c r="H6" s="12" t="s">
        <v>295</v>
      </c>
      <c r="I6" s="11">
        <v>2500</v>
      </c>
      <c r="J6" s="10">
        <v>1000</v>
      </c>
      <c r="K6" s="9">
        <v>1500</v>
      </c>
      <c r="L6" s="8">
        <f t="shared" si="0"/>
        <v>0</v>
      </c>
    </row>
    <row r="7" spans="1:12" ht="150.75" customHeight="1" thickBot="1" x14ac:dyDescent="0.3">
      <c r="A7" s="47"/>
      <c r="B7" s="13" t="s">
        <v>77</v>
      </c>
      <c r="C7" s="12" t="s">
        <v>27</v>
      </c>
      <c r="D7" s="12" t="s">
        <v>24</v>
      </c>
      <c r="E7" s="13" t="s">
        <v>111</v>
      </c>
      <c r="F7" s="22" t="s">
        <v>4</v>
      </c>
      <c r="G7" s="13" t="s">
        <v>0</v>
      </c>
      <c r="H7" s="12" t="s">
        <v>295</v>
      </c>
      <c r="I7" s="11">
        <v>2500</v>
      </c>
      <c r="J7" s="10"/>
      <c r="K7" s="9">
        <f>1000+1500</f>
        <v>2500</v>
      </c>
      <c r="L7" s="8">
        <f t="shared" si="0"/>
        <v>0</v>
      </c>
    </row>
    <row r="8" spans="1:12" ht="150.75" customHeight="1" thickBot="1" x14ac:dyDescent="0.3">
      <c r="A8" s="47"/>
      <c r="B8" s="24" t="s">
        <v>77</v>
      </c>
      <c r="C8" s="12" t="s">
        <v>27</v>
      </c>
      <c r="D8" s="12" t="s">
        <v>24</v>
      </c>
      <c r="E8" s="13" t="s">
        <v>197</v>
      </c>
      <c r="F8" s="22" t="s">
        <v>4</v>
      </c>
      <c r="G8" s="13" t="s">
        <v>0</v>
      </c>
      <c r="H8" s="12" t="s">
        <v>295</v>
      </c>
      <c r="I8" s="11">
        <v>4000</v>
      </c>
      <c r="J8" s="10"/>
      <c r="K8" s="9">
        <v>4000</v>
      </c>
      <c r="L8" s="8">
        <f t="shared" si="0"/>
        <v>0</v>
      </c>
    </row>
    <row r="9" spans="1:12" ht="150.75" customHeight="1" thickBot="1" x14ac:dyDescent="0.3">
      <c r="A9" s="47"/>
      <c r="B9" s="24" t="s">
        <v>29</v>
      </c>
      <c r="C9" s="12" t="s">
        <v>125</v>
      </c>
      <c r="D9" s="12" t="s">
        <v>24</v>
      </c>
      <c r="E9" s="13" t="s">
        <v>310</v>
      </c>
      <c r="F9" s="22" t="s">
        <v>131</v>
      </c>
      <c r="G9" s="13" t="s">
        <v>37</v>
      </c>
      <c r="H9" s="12" t="s">
        <v>282</v>
      </c>
      <c r="I9" s="11">
        <v>109</v>
      </c>
      <c r="J9" s="10"/>
      <c r="K9" s="9">
        <v>109</v>
      </c>
      <c r="L9" s="8">
        <f t="shared" si="0"/>
        <v>0</v>
      </c>
    </row>
    <row r="10" spans="1:12" ht="150.75" customHeight="1" thickBot="1" x14ac:dyDescent="0.3">
      <c r="A10" s="47"/>
      <c r="B10" s="24" t="s">
        <v>112</v>
      </c>
      <c r="C10" s="12" t="s">
        <v>113</v>
      </c>
      <c r="D10" s="12" t="s">
        <v>24</v>
      </c>
      <c r="E10" s="13" t="s">
        <v>114</v>
      </c>
      <c r="F10" s="22" t="s">
        <v>4</v>
      </c>
      <c r="G10" s="13" t="s">
        <v>0</v>
      </c>
      <c r="H10" s="12" t="s">
        <v>295</v>
      </c>
      <c r="I10" s="11">
        <v>2000</v>
      </c>
      <c r="J10" s="10">
        <v>1000</v>
      </c>
      <c r="K10" s="9">
        <v>1000</v>
      </c>
      <c r="L10" s="8">
        <f t="shared" si="0"/>
        <v>0</v>
      </c>
    </row>
    <row r="11" spans="1:12" ht="150.75" customHeight="1" thickBot="1" x14ac:dyDescent="0.3">
      <c r="A11" s="47"/>
      <c r="B11" s="24" t="s">
        <v>112</v>
      </c>
      <c r="C11" s="12" t="s">
        <v>113</v>
      </c>
      <c r="D11" s="22" t="s">
        <v>24</v>
      </c>
      <c r="E11" s="13" t="s">
        <v>273</v>
      </c>
      <c r="F11" s="22" t="s">
        <v>4</v>
      </c>
      <c r="G11" s="13" t="s">
        <v>0</v>
      </c>
      <c r="H11" s="12" t="s">
        <v>295</v>
      </c>
      <c r="I11" s="11">
        <v>1000</v>
      </c>
      <c r="J11" s="10"/>
      <c r="K11" s="9">
        <v>1000</v>
      </c>
      <c r="L11" s="8">
        <f t="shared" si="0"/>
        <v>0</v>
      </c>
    </row>
    <row r="12" spans="1:12" ht="150.75" customHeight="1" thickBot="1" x14ac:dyDescent="0.3">
      <c r="A12" s="47"/>
      <c r="B12" s="24" t="s">
        <v>32</v>
      </c>
      <c r="C12" s="12" t="s">
        <v>31</v>
      </c>
      <c r="D12" s="22" t="s">
        <v>24</v>
      </c>
      <c r="E12" s="13" t="s">
        <v>171</v>
      </c>
      <c r="F12" s="22" t="s">
        <v>4</v>
      </c>
      <c r="G12" s="13" t="s">
        <v>0</v>
      </c>
      <c r="H12" s="12" t="s">
        <v>295</v>
      </c>
      <c r="I12" s="11">
        <v>3000</v>
      </c>
      <c r="J12" s="10">
        <v>1000</v>
      </c>
      <c r="K12" s="9">
        <v>2000</v>
      </c>
      <c r="L12" s="8">
        <f t="shared" si="0"/>
        <v>0</v>
      </c>
    </row>
    <row r="13" spans="1:12" ht="150.75" customHeight="1" thickBot="1" x14ac:dyDescent="0.3">
      <c r="A13" s="47"/>
      <c r="B13" s="24" t="s">
        <v>28</v>
      </c>
      <c r="C13" s="12" t="s">
        <v>155</v>
      </c>
      <c r="D13" s="12" t="s">
        <v>24</v>
      </c>
      <c r="E13" s="13" t="s">
        <v>156</v>
      </c>
      <c r="F13" s="22" t="s">
        <v>4</v>
      </c>
      <c r="G13" s="13" t="s">
        <v>0</v>
      </c>
      <c r="H13" s="12" t="s">
        <v>282</v>
      </c>
      <c r="I13" s="11">
        <v>2000</v>
      </c>
      <c r="J13" s="10">
        <v>1000</v>
      </c>
      <c r="K13" s="9">
        <v>1000</v>
      </c>
      <c r="L13" s="8">
        <f t="shared" si="0"/>
        <v>0</v>
      </c>
    </row>
    <row r="14" spans="1:12" ht="150.75" customHeight="1" thickBot="1" x14ac:dyDescent="0.3">
      <c r="A14" s="48"/>
      <c r="B14" s="24" t="s">
        <v>28</v>
      </c>
      <c r="C14" s="12" t="s">
        <v>155</v>
      </c>
      <c r="D14" s="12" t="s">
        <v>24</v>
      </c>
      <c r="E14" s="13" t="s">
        <v>156</v>
      </c>
      <c r="F14" s="22" t="s">
        <v>4</v>
      </c>
      <c r="G14" s="13" t="s">
        <v>0</v>
      </c>
      <c r="H14" s="12" t="s">
        <v>295</v>
      </c>
      <c r="I14" s="11">
        <v>1000</v>
      </c>
      <c r="J14" s="10"/>
      <c r="K14" s="9">
        <v>1000</v>
      </c>
      <c r="L14" s="8">
        <f t="shared" si="0"/>
        <v>0</v>
      </c>
    </row>
    <row r="15" spans="1:12" ht="150.75" customHeight="1" thickBot="1" x14ac:dyDescent="0.3">
      <c r="A15" s="46" t="s">
        <v>36</v>
      </c>
      <c r="B15" s="24" t="s">
        <v>99</v>
      </c>
      <c r="C15" s="12" t="s">
        <v>100</v>
      </c>
      <c r="D15" s="12" t="s">
        <v>24</v>
      </c>
      <c r="E15" s="13" t="s">
        <v>128</v>
      </c>
      <c r="F15" s="22" t="s">
        <v>102</v>
      </c>
      <c r="G15" s="13" t="s">
        <v>37</v>
      </c>
      <c r="H15" s="12" t="s">
        <v>282</v>
      </c>
      <c r="I15" s="11">
        <v>500</v>
      </c>
      <c r="J15" s="10"/>
      <c r="K15" s="9">
        <v>500</v>
      </c>
      <c r="L15" s="8">
        <f t="shared" si="0"/>
        <v>0</v>
      </c>
    </row>
    <row r="16" spans="1:12" ht="150.75" customHeight="1" thickBot="1" x14ac:dyDescent="0.3">
      <c r="A16" s="47"/>
      <c r="B16" s="24" t="s">
        <v>28</v>
      </c>
      <c r="C16" s="12" t="s">
        <v>155</v>
      </c>
      <c r="D16" s="12" t="s">
        <v>24</v>
      </c>
      <c r="E16" s="13" t="s">
        <v>156</v>
      </c>
      <c r="F16" s="22" t="s">
        <v>4</v>
      </c>
      <c r="G16" s="13" t="s">
        <v>0</v>
      </c>
      <c r="H16" s="12" t="s">
        <v>282</v>
      </c>
      <c r="I16" s="11">
        <v>3000</v>
      </c>
      <c r="J16" s="10">
        <v>1000</v>
      </c>
      <c r="K16" s="9">
        <v>2000</v>
      </c>
      <c r="L16" s="8">
        <f t="shared" si="0"/>
        <v>0</v>
      </c>
    </row>
    <row r="17" spans="1:12" ht="150.75" customHeight="1" thickBot="1" x14ac:dyDescent="0.3">
      <c r="A17" s="47"/>
      <c r="B17" s="24" t="s">
        <v>32</v>
      </c>
      <c r="C17" s="12" t="s">
        <v>31</v>
      </c>
      <c r="D17" s="12" t="s">
        <v>24</v>
      </c>
      <c r="E17" s="13" t="s">
        <v>171</v>
      </c>
      <c r="F17" s="22" t="s">
        <v>4</v>
      </c>
      <c r="G17" s="13" t="s">
        <v>0</v>
      </c>
      <c r="H17" s="12" t="s">
        <v>295</v>
      </c>
      <c r="I17" s="11">
        <v>2500</v>
      </c>
      <c r="J17" s="10">
        <v>1000</v>
      </c>
      <c r="K17" s="9">
        <v>1500</v>
      </c>
      <c r="L17" s="8">
        <f t="shared" si="0"/>
        <v>0</v>
      </c>
    </row>
    <row r="18" spans="1:12" ht="150.75" customHeight="1" thickBot="1" x14ac:dyDescent="0.3">
      <c r="A18" s="47"/>
      <c r="B18" s="24" t="s">
        <v>40</v>
      </c>
      <c r="C18" s="12" t="s">
        <v>27</v>
      </c>
      <c r="D18" s="12" t="s">
        <v>24</v>
      </c>
      <c r="E18" s="13" t="s">
        <v>39</v>
      </c>
      <c r="F18" s="22" t="s">
        <v>4</v>
      </c>
      <c r="G18" s="13" t="s">
        <v>0</v>
      </c>
      <c r="H18" s="12" t="s">
        <v>295</v>
      </c>
      <c r="I18" s="11">
        <v>1000</v>
      </c>
      <c r="J18" s="10">
        <v>1000</v>
      </c>
      <c r="K18" s="9"/>
      <c r="L18" s="8">
        <f t="shared" si="0"/>
        <v>0</v>
      </c>
    </row>
    <row r="19" spans="1:12" ht="150.75" customHeight="1" thickBot="1" x14ac:dyDescent="0.3">
      <c r="A19" s="47"/>
      <c r="B19" s="24" t="s">
        <v>40</v>
      </c>
      <c r="C19" s="12" t="s">
        <v>27</v>
      </c>
      <c r="D19" s="12" t="s">
        <v>24</v>
      </c>
      <c r="E19" s="13" t="s">
        <v>111</v>
      </c>
      <c r="F19" s="22" t="s">
        <v>4</v>
      </c>
      <c r="G19" s="13" t="s">
        <v>0</v>
      </c>
      <c r="H19" s="12" t="s">
        <v>295</v>
      </c>
      <c r="I19" s="11">
        <v>1000</v>
      </c>
      <c r="J19" s="10"/>
      <c r="K19" s="9">
        <v>1000</v>
      </c>
      <c r="L19" s="8">
        <f t="shared" si="0"/>
        <v>0</v>
      </c>
    </row>
    <row r="20" spans="1:12" ht="150.75" customHeight="1" thickBot="1" x14ac:dyDescent="0.3">
      <c r="A20" s="47"/>
      <c r="B20" s="24" t="s">
        <v>40</v>
      </c>
      <c r="C20" s="12" t="s">
        <v>27</v>
      </c>
      <c r="D20" s="12" t="s">
        <v>24</v>
      </c>
      <c r="E20" s="13" t="s">
        <v>197</v>
      </c>
      <c r="F20" s="22" t="s">
        <v>4</v>
      </c>
      <c r="G20" s="13" t="s">
        <v>0</v>
      </c>
      <c r="H20" s="12" t="s">
        <v>295</v>
      </c>
      <c r="I20" s="11">
        <v>1000</v>
      </c>
      <c r="J20" s="10"/>
      <c r="K20" s="9">
        <v>1000</v>
      </c>
      <c r="L20" s="8">
        <f t="shared" si="0"/>
        <v>0</v>
      </c>
    </row>
    <row r="21" spans="1:12" ht="150.75" customHeight="1" thickBot="1" x14ac:dyDescent="0.3">
      <c r="A21" s="47"/>
      <c r="B21" s="24" t="s">
        <v>38</v>
      </c>
      <c r="C21" s="12" t="s">
        <v>15</v>
      </c>
      <c r="D21" s="12" t="s">
        <v>24</v>
      </c>
      <c r="E21" s="13" t="s">
        <v>96</v>
      </c>
      <c r="F21" s="22" t="s">
        <v>4</v>
      </c>
      <c r="G21" s="13" t="s">
        <v>0</v>
      </c>
      <c r="H21" s="12" t="s">
        <v>295</v>
      </c>
      <c r="I21" s="11">
        <v>2000</v>
      </c>
      <c r="J21" s="10">
        <v>1000</v>
      </c>
      <c r="K21" s="9">
        <v>1000</v>
      </c>
      <c r="L21" s="8">
        <f t="shared" si="0"/>
        <v>0</v>
      </c>
    </row>
    <row r="22" spans="1:12" ht="150.75" customHeight="1" thickBot="1" x14ac:dyDescent="0.3">
      <c r="A22" s="47"/>
      <c r="B22" s="24" t="s">
        <v>77</v>
      </c>
      <c r="C22" s="12" t="s">
        <v>27</v>
      </c>
      <c r="D22" s="12" t="s">
        <v>24</v>
      </c>
      <c r="E22" s="13" t="s">
        <v>197</v>
      </c>
      <c r="F22" s="22" t="s">
        <v>4</v>
      </c>
      <c r="G22" s="13" t="s">
        <v>0</v>
      </c>
      <c r="H22" s="12" t="s">
        <v>295</v>
      </c>
      <c r="I22" s="11">
        <v>2000</v>
      </c>
      <c r="J22" s="10"/>
      <c r="K22" s="9">
        <v>2000</v>
      </c>
      <c r="L22" s="8">
        <f t="shared" si="0"/>
        <v>0</v>
      </c>
    </row>
    <row r="23" spans="1:12" ht="150.75" customHeight="1" thickBot="1" x14ac:dyDescent="0.3">
      <c r="A23" s="48"/>
      <c r="B23" s="24" t="s">
        <v>112</v>
      </c>
      <c r="C23" s="12" t="s">
        <v>113</v>
      </c>
      <c r="D23" s="12" t="s">
        <v>24</v>
      </c>
      <c r="E23" s="13" t="s">
        <v>114</v>
      </c>
      <c r="F23" s="22" t="s">
        <v>4</v>
      </c>
      <c r="G23" s="13" t="s">
        <v>0</v>
      </c>
      <c r="H23" s="12" t="s">
        <v>282</v>
      </c>
      <c r="I23" s="11">
        <v>1640</v>
      </c>
      <c r="J23" s="10"/>
      <c r="K23" s="9">
        <v>1640</v>
      </c>
      <c r="L23" s="8">
        <f t="shared" si="0"/>
        <v>0</v>
      </c>
    </row>
    <row r="24" spans="1:12" ht="150.75" customHeight="1" thickBot="1" x14ac:dyDescent="0.3">
      <c r="A24" s="46" t="s">
        <v>23</v>
      </c>
      <c r="B24" s="24" t="s">
        <v>223</v>
      </c>
      <c r="C24" s="12" t="s">
        <v>17</v>
      </c>
      <c r="D24" s="12" t="s">
        <v>311</v>
      </c>
      <c r="E24" s="13" t="s">
        <v>312</v>
      </c>
      <c r="F24" s="22" t="s">
        <v>122</v>
      </c>
      <c r="G24" s="13" t="s">
        <v>0</v>
      </c>
      <c r="H24" s="12" t="s">
        <v>295</v>
      </c>
      <c r="I24" s="11">
        <v>3000</v>
      </c>
      <c r="J24" s="10">
        <v>1000</v>
      </c>
      <c r="K24" s="9">
        <v>2000</v>
      </c>
      <c r="L24" s="8">
        <f t="shared" si="0"/>
        <v>0</v>
      </c>
    </row>
    <row r="25" spans="1:12" ht="150.75" customHeight="1" thickBot="1" x14ac:dyDescent="0.3">
      <c r="A25" s="47"/>
      <c r="B25" s="24" t="s">
        <v>223</v>
      </c>
      <c r="C25" s="12" t="s">
        <v>17</v>
      </c>
      <c r="D25" s="12" t="s">
        <v>311</v>
      </c>
      <c r="E25" s="13" t="s">
        <v>313</v>
      </c>
      <c r="F25" s="22" t="s">
        <v>122</v>
      </c>
      <c r="G25" s="13" t="s">
        <v>0</v>
      </c>
      <c r="H25" s="12" t="s">
        <v>295</v>
      </c>
      <c r="I25" s="11">
        <v>2000</v>
      </c>
      <c r="J25" s="10"/>
      <c r="K25" s="9">
        <v>2000</v>
      </c>
      <c r="L25" s="8">
        <f t="shared" si="0"/>
        <v>0</v>
      </c>
    </row>
    <row r="26" spans="1:12" ht="150.75" customHeight="1" thickBot="1" x14ac:dyDescent="0.3">
      <c r="A26" s="48"/>
      <c r="B26" s="24" t="s">
        <v>12</v>
      </c>
      <c r="C26" s="12" t="s">
        <v>6</v>
      </c>
      <c r="D26" s="12" t="s">
        <v>20</v>
      </c>
      <c r="E26" s="13" t="s">
        <v>22</v>
      </c>
      <c r="F26" s="22" t="s">
        <v>4</v>
      </c>
      <c r="G26" s="13" t="s">
        <v>0</v>
      </c>
      <c r="H26" s="12" t="s">
        <v>282</v>
      </c>
      <c r="I26" s="11">
        <v>2000</v>
      </c>
      <c r="J26" s="10">
        <v>1000</v>
      </c>
      <c r="K26" s="9">
        <v>1000</v>
      </c>
      <c r="L26" s="8">
        <f t="shared" si="0"/>
        <v>0</v>
      </c>
    </row>
    <row r="27" spans="1:12" ht="150.75" customHeight="1" thickBot="1" x14ac:dyDescent="0.3">
      <c r="A27" s="46" t="s">
        <v>19</v>
      </c>
      <c r="B27" s="24" t="s">
        <v>7</v>
      </c>
      <c r="C27" s="12" t="s">
        <v>17</v>
      </c>
      <c r="D27" s="12" t="s">
        <v>120</v>
      </c>
      <c r="E27" s="13" t="s">
        <v>121</v>
      </c>
      <c r="F27" s="22" t="s">
        <v>122</v>
      </c>
      <c r="G27" s="13" t="s">
        <v>0</v>
      </c>
      <c r="H27" s="12" t="s">
        <v>295</v>
      </c>
      <c r="I27" s="11">
        <v>2000</v>
      </c>
      <c r="J27" s="10">
        <v>1000</v>
      </c>
      <c r="K27" s="9" t="s">
        <v>314</v>
      </c>
      <c r="L27" s="8" t="e">
        <f t="shared" si="0"/>
        <v>#VALUE!</v>
      </c>
    </row>
    <row r="28" spans="1:12" ht="150.75" customHeight="1" thickBot="1" x14ac:dyDescent="0.3">
      <c r="A28" s="47"/>
      <c r="B28" s="24" t="s">
        <v>7</v>
      </c>
      <c r="C28" s="12" t="s">
        <v>15</v>
      </c>
      <c r="D28" s="12" t="s">
        <v>14</v>
      </c>
      <c r="E28" s="13" t="s">
        <v>58</v>
      </c>
      <c r="F28" s="22" t="s">
        <v>4</v>
      </c>
      <c r="G28" s="13" t="s">
        <v>0</v>
      </c>
      <c r="H28" s="12" t="s">
        <v>282</v>
      </c>
      <c r="I28" s="11">
        <v>1000</v>
      </c>
      <c r="J28" s="10">
        <v>500</v>
      </c>
      <c r="K28" s="9">
        <v>500</v>
      </c>
      <c r="L28" s="8">
        <f t="shared" si="0"/>
        <v>0</v>
      </c>
    </row>
    <row r="29" spans="1:12" ht="150.75" customHeight="1" thickBot="1" x14ac:dyDescent="0.3">
      <c r="A29" s="47"/>
      <c r="B29" s="24" t="s">
        <v>7</v>
      </c>
      <c r="C29" s="12" t="s">
        <v>15</v>
      </c>
      <c r="D29" s="12" t="s">
        <v>14</v>
      </c>
      <c r="E29" s="13" t="s">
        <v>13</v>
      </c>
      <c r="F29" s="22" t="s">
        <v>4</v>
      </c>
      <c r="G29" s="13" t="s">
        <v>0</v>
      </c>
      <c r="H29" s="12" t="s">
        <v>295</v>
      </c>
      <c r="I29" s="11">
        <v>2000</v>
      </c>
      <c r="J29" s="10">
        <v>500</v>
      </c>
      <c r="K29" s="9">
        <v>1500</v>
      </c>
      <c r="L29" s="8">
        <f t="shared" si="0"/>
        <v>0</v>
      </c>
    </row>
    <row r="30" spans="1:12" ht="150.75" customHeight="1" thickBot="1" x14ac:dyDescent="0.3">
      <c r="A30" s="47"/>
      <c r="B30" s="24" t="s">
        <v>12</v>
      </c>
      <c r="C30" s="12" t="s">
        <v>118</v>
      </c>
      <c r="D30" s="12" t="s">
        <v>123</v>
      </c>
      <c r="E30" s="13" t="s">
        <v>124</v>
      </c>
      <c r="F30" s="22" t="s">
        <v>4</v>
      </c>
      <c r="G30" s="13" t="s">
        <v>0</v>
      </c>
      <c r="H30" s="12" t="s">
        <v>295</v>
      </c>
      <c r="I30" s="11">
        <v>2000</v>
      </c>
      <c r="J30" s="10">
        <v>1000</v>
      </c>
      <c r="K30" s="9">
        <v>1000</v>
      </c>
      <c r="L30" s="8">
        <f t="shared" si="0"/>
        <v>0</v>
      </c>
    </row>
    <row r="31" spans="1:12" ht="150.75" customHeight="1" thickBot="1" x14ac:dyDescent="0.3">
      <c r="A31" s="47"/>
      <c r="B31" s="24" t="s">
        <v>12</v>
      </c>
      <c r="C31" s="12" t="s">
        <v>3</v>
      </c>
      <c r="D31" s="12" t="s">
        <v>11</v>
      </c>
      <c r="E31" s="13" t="s">
        <v>10</v>
      </c>
      <c r="F31" s="22" t="s">
        <v>9</v>
      </c>
      <c r="G31" s="13" t="s">
        <v>0</v>
      </c>
      <c r="H31" s="12" t="s">
        <v>295</v>
      </c>
      <c r="I31" s="11">
        <v>3200</v>
      </c>
      <c r="J31" s="10">
        <v>1000</v>
      </c>
      <c r="K31" s="9">
        <v>2200</v>
      </c>
      <c r="L31" s="8">
        <f t="shared" si="0"/>
        <v>0</v>
      </c>
    </row>
    <row r="32" spans="1:12" ht="150.75" customHeight="1" thickBot="1" x14ac:dyDescent="0.3">
      <c r="A32" s="48"/>
      <c r="B32" s="24" t="s">
        <v>7</v>
      </c>
      <c r="C32" s="12" t="s">
        <v>6</v>
      </c>
      <c r="D32" s="12" t="s">
        <v>1</v>
      </c>
      <c r="E32" s="13" t="s">
        <v>5</v>
      </c>
      <c r="F32" s="22" t="s">
        <v>9</v>
      </c>
      <c r="G32" s="13" t="s">
        <v>0</v>
      </c>
      <c r="H32" s="12" t="s">
        <v>295</v>
      </c>
      <c r="I32" s="11">
        <v>3000</v>
      </c>
      <c r="J32" s="10">
        <v>1000</v>
      </c>
      <c r="K32" s="9">
        <v>2000</v>
      </c>
      <c r="L32" s="8">
        <f t="shared" si="0"/>
        <v>0</v>
      </c>
    </row>
  </sheetData>
  <autoFilter ref="A2:L32"/>
  <dataConsolidate/>
  <mergeCells count="5">
    <mergeCell ref="A1:L1"/>
    <mergeCell ref="A3:A14"/>
    <mergeCell ref="A15:A23"/>
    <mergeCell ref="A24:A26"/>
    <mergeCell ref="A27:A32"/>
  </mergeCells>
  <conditionalFormatting sqref="K3:L24 I2:I24">
    <cfRule type="cellIs" dxfId="107" priority="4" operator="lessThan">
      <formula>0</formula>
    </cfRule>
  </conditionalFormatting>
  <conditionalFormatting sqref="L2">
    <cfRule type="cellIs" dxfId="106" priority="3" operator="lessThan">
      <formula>0</formula>
    </cfRule>
  </conditionalFormatting>
  <conditionalFormatting sqref="I25 K25:L25 L26:L32">
    <cfRule type="cellIs" dxfId="105" priority="2" operator="lessThan">
      <formula>0</formula>
    </cfRule>
  </conditionalFormatting>
  <conditionalFormatting sqref="I26:I32 K26:K32">
    <cfRule type="cellIs" dxfId="104" priority="1" operator="lessThan">
      <formula>0</formula>
    </cfRule>
  </conditionalFormatting>
  <printOptions horizontalCentered="1"/>
  <pageMargins left="0" right="0" top="0" bottom="0" header="0" footer="0"/>
  <pageSetup paperSize="9" scale="11" fitToHeight="0" orientation="portrait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27"/>
  <sheetViews>
    <sheetView showGridLines="0" view="pageBreakPreview" zoomScale="20" zoomScaleNormal="27" zoomScaleSheetLayoutView="20" workbookViewId="0">
      <selection activeCell="K10" sqref="K10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315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41</v>
      </c>
      <c r="B3" s="13" t="s">
        <v>40</v>
      </c>
      <c r="C3" s="12" t="s">
        <v>31</v>
      </c>
      <c r="D3" s="12" t="s">
        <v>126</v>
      </c>
      <c r="E3" s="13" t="s">
        <v>220</v>
      </c>
      <c r="F3" s="22" t="s">
        <v>131</v>
      </c>
      <c r="G3" s="13" t="s">
        <v>37</v>
      </c>
      <c r="H3" s="12" t="s">
        <v>282</v>
      </c>
      <c r="I3" s="11">
        <v>385</v>
      </c>
      <c r="J3" s="10"/>
      <c r="K3" s="9">
        <v>385</v>
      </c>
      <c r="L3" s="8">
        <f t="shared" ref="L3:L27" si="0">K3+J3-I3</f>
        <v>0</v>
      </c>
    </row>
    <row r="4" spans="1:12" ht="150.75" customHeight="1" thickBot="1" x14ac:dyDescent="0.3">
      <c r="A4" s="47"/>
      <c r="B4" s="13" t="s">
        <v>66</v>
      </c>
      <c r="C4" s="12" t="s">
        <v>62</v>
      </c>
      <c r="D4" s="12" t="s">
        <v>24</v>
      </c>
      <c r="E4" s="13" t="s">
        <v>185</v>
      </c>
      <c r="F4" s="22" t="s">
        <v>4</v>
      </c>
      <c r="G4" s="13" t="s">
        <v>37</v>
      </c>
      <c r="H4" s="12" t="s">
        <v>295</v>
      </c>
      <c r="I4" s="11">
        <v>70</v>
      </c>
      <c r="J4" s="10"/>
      <c r="K4" s="9">
        <v>70</v>
      </c>
      <c r="L4" s="8">
        <f t="shared" si="0"/>
        <v>0</v>
      </c>
    </row>
    <row r="5" spans="1:12" ht="150.75" customHeight="1" thickBot="1" x14ac:dyDescent="0.3">
      <c r="A5" s="47"/>
      <c r="B5" s="13" t="s">
        <v>77</v>
      </c>
      <c r="C5" s="12" t="s">
        <v>27</v>
      </c>
      <c r="D5" s="12" t="s">
        <v>24</v>
      </c>
      <c r="E5" s="13" t="s">
        <v>55</v>
      </c>
      <c r="F5" s="22" t="s">
        <v>9</v>
      </c>
      <c r="G5" s="13" t="s">
        <v>0</v>
      </c>
      <c r="H5" s="12" t="s">
        <v>295</v>
      </c>
      <c r="I5" s="11">
        <v>2000</v>
      </c>
      <c r="J5" s="10"/>
      <c r="K5" s="9">
        <v>2000</v>
      </c>
      <c r="L5" s="8">
        <f t="shared" si="0"/>
        <v>0</v>
      </c>
    </row>
    <row r="6" spans="1:12" ht="150.75" customHeight="1" thickBot="1" x14ac:dyDescent="0.3">
      <c r="A6" s="47"/>
      <c r="B6" s="13" t="s">
        <v>32</v>
      </c>
      <c r="C6" s="12" t="s">
        <v>31</v>
      </c>
      <c r="D6" s="12" t="s">
        <v>24</v>
      </c>
      <c r="E6" s="13" t="s">
        <v>171</v>
      </c>
      <c r="F6" s="22" t="s">
        <v>4</v>
      </c>
      <c r="G6" s="13" t="s">
        <v>0</v>
      </c>
      <c r="H6" s="12" t="s">
        <v>295</v>
      </c>
      <c r="I6" s="11">
        <v>1000</v>
      </c>
      <c r="J6" s="10"/>
      <c r="K6" s="9">
        <v>1000</v>
      </c>
      <c r="L6" s="8">
        <f t="shared" si="0"/>
        <v>0</v>
      </c>
    </row>
    <row r="7" spans="1:12" ht="150.75" customHeight="1" thickBot="1" x14ac:dyDescent="0.3">
      <c r="A7" s="48"/>
      <c r="B7" s="13" t="s">
        <v>32</v>
      </c>
      <c r="C7" s="12" t="s">
        <v>31</v>
      </c>
      <c r="D7" s="12" t="s">
        <v>24</v>
      </c>
      <c r="E7" s="13" t="s">
        <v>116</v>
      </c>
      <c r="F7" s="22" t="s">
        <v>9</v>
      </c>
      <c r="G7" s="13" t="s">
        <v>0</v>
      </c>
      <c r="H7" s="12" t="s">
        <v>316</v>
      </c>
      <c r="I7" s="11">
        <v>2500</v>
      </c>
      <c r="J7" s="10"/>
      <c r="K7" s="9">
        <v>2500</v>
      </c>
      <c r="L7" s="8">
        <f t="shared" si="0"/>
        <v>0</v>
      </c>
    </row>
    <row r="8" spans="1:12" ht="150.75" customHeight="1" thickBot="1" x14ac:dyDescent="0.3">
      <c r="A8" s="46" t="s">
        <v>36</v>
      </c>
      <c r="B8" s="24" t="s">
        <v>99</v>
      </c>
      <c r="C8" s="12" t="s">
        <v>100</v>
      </c>
      <c r="D8" s="12" t="s">
        <v>24</v>
      </c>
      <c r="E8" s="13" t="s">
        <v>128</v>
      </c>
      <c r="F8" s="22" t="s">
        <v>102</v>
      </c>
      <c r="G8" s="13" t="s">
        <v>37</v>
      </c>
      <c r="H8" s="12" t="s">
        <v>282</v>
      </c>
      <c r="I8" s="11">
        <v>590</v>
      </c>
      <c r="J8" s="10"/>
      <c r="K8" s="9">
        <v>590</v>
      </c>
      <c r="L8" s="8">
        <f t="shared" si="0"/>
        <v>0</v>
      </c>
    </row>
    <row r="9" spans="1:12" ht="150.75" customHeight="1" thickBot="1" x14ac:dyDescent="0.3">
      <c r="A9" s="47"/>
      <c r="B9" s="24" t="s">
        <v>28</v>
      </c>
      <c r="C9" s="12" t="s">
        <v>155</v>
      </c>
      <c r="D9" s="12" t="s">
        <v>24</v>
      </c>
      <c r="E9" s="13" t="s">
        <v>156</v>
      </c>
      <c r="F9" s="22" t="s">
        <v>4</v>
      </c>
      <c r="G9" s="13" t="s">
        <v>0</v>
      </c>
      <c r="H9" s="12" t="s">
        <v>295</v>
      </c>
      <c r="I9" s="11">
        <v>1000</v>
      </c>
      <c r="J9" s="10"/>
      <c r="K9" s="9">
        <v>1000</v>
      </c>
      <c r="L9" s="8">
        <f t="shared" si="0"/>
        <v>0</v>
      </c>
    </row>
    <row r="10" spans="1:12" ht="150.75" customHeight="1" thickBot="1" x14ac:dyDescent="0.3">
      <c r="A10" s="47"/>
      <c r="B10" s="24" t="s">
        <v>28</v>
      </c>
      <c r="C10" s="12" t="s">
        <v>155</v>
      </c>
      <c r="D10" s="12" t="s">
        <v>24</v>
      </c>
      <c r="E10" s="13" t="s">
        <v>156</v>
      </c>
      <c r="F10" s="22" t="s">
        <v>4</v>
      </c>
      <c r="G10" s="13" t="s">
        <v>0</v>
      </c>
      <c r="H10" s="12" t="s">
        <v>282</v>
      </c>
      <c r="I10" s="11">
        <v>1000</v>
      </c>
      <c r="J10" s="10"/>
      <c r="K10" s="9">
        <v>1000</v>
      </c>
      <c r="L10" s="8">
        <f t="shared" si="0"/>
        <v>0</v>
      </c>
    </row>
    <row r="11" spans="1:12" ht="150.75" customHeight="1" thickBot="1" x14ac:dyDescent="0.3">
      <c r="A11" s="47"/>
      <c r="B11" s="24" t="s">
        <v>61</v>
      </c>
      <c r="C11" s="12" t="s">
        <v>31</v>
      </c>
      <c r="D11" s="22" t="s">
        <v>24</v>
      </c>
      <c r="E11" s="13" t="s">
        <v>171</v>
      </c>
      <c r="F11" s="22" t="s">
        <v>4</v>
      </c>
      <c r="G11" s="13" t="s">
        <v>0</v>
      </c>
      <c r="H11" s="12" t="s">
        <v>295</v>
      </c>
      <c r="I11" s="11">
        <v>1000</v>
      </c>
      <c r="J11" s="10"/>
      <c r="K11" s="9">
        <v>1000</v>
      </c>
      <c r="L11" s="8">
        <f t="shared" si="0"/>
        <v>0</v>
      </c>
    </row>
    <row r="12" spans="1:12" ht="150.75" customHeight="1" thickBot="1" x14ac:dyDescent="0.3">
      <c r="A12" s="47"/>
      <c r="B12" s="24" t="s">
        <v>61</v>
      </c>
      <c r="C12" s="12" t="s">
        <v>31</v>
      </c>
      <c r="D12" s="22" t="s">
        <v>24</v>
      </c>
      <c r="E12" s="13" t="s">
        <v>116</v>
      </c>
      <c r="F12" s="22" t="s">
        <v>9</v>
      </c>
      <c r="G12" s="13" t="s">
        <v>0</v>
      </c>
      <c r="H12" s="12" t="s">
        <v>316</v>
      </c>
      <c r="I12" s="11">
        <v>1000</v>
      </c>
      <c r="J12" s="10"/>
      <c r="K12" s="9">
        <v>1000</v>
      </c>
      <c r="L12" s="8">
        <f t="shared" si="0"/>
        <v>0</v>
      </c>
    </row>
    <row r="13" spans="1:12" ht="150.75" customHeight="1" thickBot="1" x14ac:dyDescent="0.3">
      <c r="A13" s="47"/>
      <c r="B13" s="24" t="s">
        <v>38</v>
      </c>
      <c r="C13" s="12" t="s">
        <v>15</v>
      </c>
      <c r="D13" s="12" t="s">
        <v>24</v>
      </c>
      <c r="E13" s="13" t="s">
        <v>96</v>
      </c>
      <c r="F13" s="22" t="s">
        <v>4</v>
      </c>
      <c r="G13" s="13" t="s">
        <v>8</v>
      </c>
      <c r="H13" s="12" t="s">
        <v>295</v>
      </c>
      <c r="I13" s="11">
        <v>70</v>
      </c>
      <c r="J13" s="10"/>
      <c r="K13" s="9">
        <v>70</v>
      </c>
      <c r="L13" s="8">
        <f t="shared" si="0"/>
        <v>0</v>
      </c>
    </row>
    <row r="14" spans="1:12" ht="150.75" customHeight="1" thickBot="1" x14ac:dyDescent="0.3">
      <c r="A14" s="47"/>
      <c r="B14" s="24" t="s">
        <v>38</v>
      </c>
      <c r="C14" s="12" t="s">
        <v>15</v>
      </c>
      <c r="D14" s="12" t="s">
        <v>24</v>
      </c>
      <c r="E14" s="13" t="s">
        <v>96</v>
      </c>
      <c r="F14" s="22" t="s">
        <v>4</v>
      </c>
      <c r="G14" s="13" t="s">
        <v>0</v>
      </c>
      <c r="H14" s="12" t="s">
        <v>295</v>
      </c>
      <c r="I14" s="11">
        <v>1504</v>
      </c>
      <c r="J14" s="10"/>
      <c r="K14" s="9">
        <v>1504</v>
      </c>
      <c r="L14" s="8">
        <f t="shared" si="0"/>
        <v>0</v>
      </c>
    </row>
    <row r="15" spans="1:12" ht="150.75" customHeight="1" thickBot="1" x14ac:dyDescent="0.3">
      <c r="A15" s="47"/>
      <c r="B15" s="24" t="s">
        <v>77</v>
      </c>
      <c r="C15" s="12" t="s">
        <v>27</v>
      </c>
      <c r="D15" s="12" t="s">
        <v>24</v>
      </c>
      <c r="E15" s="13" t="s">
        <v>39</v>
      </c>
      <c r="F15" s="22" t="s">
        <v>4</v>
      </c>
      <c r="G15" s="13" t="s">
        <v>0</v>
      </c>
      <c r="H15" s="12" t="s">
        <v>295</v>
      </c>
      <c r="I15" s="11">
        <v>955</v>
      </c>
      <c r="J15" s="10"/>
      <c r="K15" s="9">
        <v>955</v>
      </c>
      <c r="L15" s="8">
        <f t="shared" si="0"/>
        <v>0</v>
      </c>
    </row>
    <row r="16" spans="1:12" ht="150.75" customHeight="1" thickBot="1" x14ac:dyDescent="0.3">
      <c r="A16" s="47"/>
      <c r="B16" s="24" t="s">
        <v>77</v>
      </c>
      <c r="C16" s="12" t="s">
        <v>27</v>
      </c>
      <c r="D16" s="12" t="s">
        <v>24</v>
      </c>
      <c r="E16" s="13" t="s">
        <v>197</v>
      </c>
      <c r="F16" s="22" t="s">
        <v>4</v>
      </c>
      <c r="G16" s="13" t="s">
        <v>0</v>
      </c>
      <c r="H16" s="12" t="s">
        <v>295</v>
      </c>
      <c r="I16" s="11">
        <v>1470</v>
      </c>
      <c r="J16" s="10"/>
      <c r="K16" s="9">
        <v>1470</v>
      </c>
      <c r="L16" s="8">
        <f t="shared" si="0"/>
        <v>0</v>
      </c>
    </row>
    <row r="17" spans="1:12" ht="150.75" customHeight="1" thickBot="1" x14ac:dyDescent="0.3">
      <c r="A17" s="48"/>
      <c r="B17" s="24" t="s">
        <v>112</v>
      </c>
      <c r="C17" s="12" t="s">
        <v>113</v>
      </c>
      <c r="D17" s="12" t="s">
        <v>24</v>
      </c>
      <c r="E17" s="13" t="s">
        <v>114</v>
      </c>
      <c r="F17" s="22" t="s">
        <v>4</v>
      </c>
      <c r="G17" s="13" t="s">
        <v>0</v>
      </c>
      <c r="H17" s="12" t="s">
        <v>295</v>
      </c>
      <c r="I17" s="11">
        <v>1000</v>
      </c>
      <c r="J17" s="10"/>
      <c r="K17" s="9">
        <v>1000</v>
      </c>
      <c r="L17" s="8">
        <f t="shared" si="0"/>
        <v>0</v>
      </c>
    </row>
    <row r="18" spans="1:12" ht="150.75" customHeight="1" thickBot="1" x14ac:dyDescent="0.3">
      <c r="A18" s="46" t="s">
        <v>23</v>
      </c>
      <c r="B18" s="24" t="s">
        <v>12</v>
      </c>
      <c r="C18" s="12" t="s">
        <v>6</v>
      </c>
      <c r="D18" s="12" t="s">
        <v>20</v>
      </c>
      <c r="E18" s="13" t="s">
        <v>22</v>
      </c>
      <c r="F18" s="22" t="s">
        <v>4</v>
      </c>
      <c r="G18" s="13" t="s">
        <v>0</v>
      </c>
      <c r="H18" s="12" t="s">
        <v>295</v>
      </c>
      <c r="I18" s="11">
        <v>3000</v>
      </c>
      <c r="J18" s="10"/>
      <c r="K18" s="9">
        <v>3000</v>
      </c>
      <c r="L18" s="8">
        <f t="shared" si="0"/>
        <v>0</v>
      </c>
    </row>
    <row r="19" spans="1:12" ht="150.75" customHeight="1" thickBot="1" x14ac:dyDescent="0.3">
      <c r="A19" s="47"/>
      <c r="B19" s="24" t="s">
        <v>21</v>
      </c>
      <c r="C19" s="12" t="s">
        <v>118</v>
      </c>
      <c r="D19" s="12" t="s">
        <v>20</v>
      </c>
      <c r="E19" s="13" t="s">
        <v>222</v>
      </c>
      <c r="F19" s="22" t="s">
        <v>4</v>
      </c>
      <c r="G19" s="13" t="s">
        <v>0</v>
      </c>
      <c r="H19" s="12" t="s">
        <v>295</v>
      </c>
      <c r="I19" s="11">
        <v>3000</v>
      </c>
      <c r="J19" s="10"/>
      <c r="K19" s="9">
        <v>3000</v>
      </c>
      <c r="L19" s="8">
        <f t="shared" si="0"/>
        <v>0</v>
      </c>
    </row>
    <row r="20" spans="1:12" ht="150.75" customHeight="1" thickBot="1" x14ac:dyDescent="0.3">
      <c r="A20" s="48"/>
      <c r="B20" s="24" t="s">
        <v>21</v>
      </c>
      <c r="C20" s="12" t="s">
        <v>3</v>
      </c>
      <c r="D20" s="12" t="s">
        <v>20</v>
      </c>
      <c r="E20" s="13" t="s">
        <v>56</v>
      </c>
      <c r="F20" s="22" t="s">
        <v>9</v>
      </c>
      <c r="G20" s="13" t="s">
        <v>0</v>
      </c>
      <c r="H20" s="12" t="s">
        <v>317</v>
      </c>
      <c r="I20" s="11">
        <v>5000</v>
      </c>
      <c r="J20" s="10"/>
      <c r="K20" s="9">
        <v>5000</v>
      </c>
      <c r="L20" s="8">
        <f t="shared" si="0"/>
        <v>0</v>
      </c>
    </row>
    <row r="21" spans="1:12" ht="150.75" customHeight="1" thickBot="1" x14ac:dyDescent="0.3">
      <c r="A21" s="46" t="s">
        <v>19</v>
      </c>
      <c r="B21" s="24" t="s">
        <v>7</v>
      </c>
      <c r="C21" s="12" t="s">
        <v>15</v>
      </c>
      <c r="D21" s="12" t="s">
        <v>14</v>
      </c>
      <c r="E21" s="13" t="s">
        <v>65</v>
      </c>
      <c r="F21" s="22" t="s">
        <v>4</v>
      </c>
      <c r="G21" s="13" t="s">
        <v>0</v>
      </c>
      <c r="H21" s="12" t="s">
        <v>295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50.75" customHeight="1" thickBot="1" x14ac:dyDescent="0.3">
      <c r="A22" s="47"/>
      <c r="B22" s="24" t="s">
        <v>7</v>
      </c>
      <c r="C22" s="12" t="s">
        <v>15</v>
      </c>
      <c r="D22" s="12" t="s">
        <v>14</v>
      </c>
      <c r="E22" s="13" t="s">
        <v>58</v>
      </c>
      <c r="F22" s="22" t="s">
        <v>4</v>
      </c>
      <c r="G22" s="13" t="s">
        <v>0</v>
      </c>
      <c r="H22" s="12" t="s">
        <v>295</v>
      </c>
      <c r="I22" s="11">
        <v>1000</v>
      </c>
      <c r="J22" s="10"/>
      <c r="K22" s="9">
        <v>1000</v>
      </c>
      <c r="L22" s="8">
        <f t="shared" si="0"/>
        <v>0</v>
      </c>
    </row>
    <row r="23" spans="1:12" ht="150.75" customHeight="1" thickBot="1" x14ac:dyDescent="0.3">
      <c r="A23" s="47"/>
      <c r="B23" s="24" t="s">
        <v>7</v>
      </c>
      <c r="C23" s="12" t="s">
        <v>15</v>
      </c>
      <c r="D23" s="12" t="s">
        <v>14</v>
      </c>
      <c r="E23" s="13" t="s">
        <v>13</v>
      </c>
      <c r="F23" s="22" t="s">
        <v>4</v>
      </c>
      <c r="G23" s="13" t="s">
        <v>0</v>
      </c>
      <c r="H23" s="12" t="s">
        <v>295</v>
      </c>
      <c r="I23" s="11">
        <v>1000</v>
      </c>
      <c r="J23" s="10"/>
      <c r="K23" s="9">
        <v>1000</v>
      </c>
      <c r="L23" s="8">
        <f t="shared" si="0"/>
        <v>0</v>
      </c>
    </row>
    <row r="24" spans="1:12" ht="150.75" customHeight="1" thickBot="1" x14ac:dyDescent="0.3">
      <c r="A24" s="47"/>
      <c r="B24" s="24" t="s">
        <v>12</v>
      </c>
      <c r="C24" s="12" t="s">
        <v>3</v>
      </c>
      <c r="D24" s="12" t="s">
        <v>11</v>
      </c>
      <c r="E24" s="13" t="s">
        <v>10</v>
      </c>
      <c r="F24" s="22" t="s">
        <v>4</v>
      </c>
      <c r="G24" s="13" t="s">
        <v>0</v>
      </c>
      <c r="H24" s="12" t="s">
        <v>295</v>
      </c>
      <c r="I24" s="11">
        <v>8378</v>
      </c>
      <c r="J24" s="10"/>
      <c r="K24" s="9">
        <f>4000+4378</f>
        <v>8378</v>
      </c>
      <c r="L24" s="8">
        <f t="shared" si="0"/>
        <v>0</v>
      </c>
    </row>
    <row r="25" spans="1:12" ht="150.75" customHeight="1" thickBot="1" x14ac:dyDescent="0.3">
      <c r="A25" s="47"/>
      <c r="B25" s="24" t="s">
        <v>12</v>
      </c>
      <c r="C25" s="12" t="s">
        <v>3</v>
      </c>
      <c r="D25" s="12" t="s">
        <v>11</v>
      </c>
      <c r="E25" s="13" t="s">
        <v>10</v>
      </c>
      <c r="F25" s="22" t="s">
        <v>9</v>
      </c>
      <c r="G25" s="13" t="s">
        <v>0</v>
      </c>
      <c r="H25" s="12" t="s">
        <v>295</v>
      </c>
      <c r="I25" s="11">
        <v>5000</v>
      </c>
      <c r="J25" s="10"/>
      <c r="K25" s="9">
        <v>5000</v>
      </c>
      <c r="L25" s="8">
        <f t="shared" si="0"/>
        <v>0</v>
      </c>
    </row>
    <row r="26" spans="1:12" ht="150.75" customHeight="1" thickBot="1" x14ac:dyDescent="0.3">
      <c r="A26" s="47"/>
      <c r="B26" s="24" t="s">
        <v>7</v>
      </c>
      <c r="C26" s="12" t="s">
        <v>6</v>
      </c>
      <c r="D26" s="12" t="s">
        <v>1</v>
      </c>
      <c r="E26" s="13" t="s">
        <v>5</v>
      </c>
      <c r="F26" s="22" t="s">
        <v>4</v>
      </c>
      <c r="G26" s="13" t="s">
        <v>0</v>
      </c>
      <c r="H26" s="12" t="s">
        <v>295</v>
      </c>
      <c r="I26" s="11">
        <v>3000</v>
      </c>
      <c r="J26" s="10"/>
      <c r="K26" s="9">
        <v>3000</v>
      </c>
      <c r="L26" s="8">
        <f t="shared" si="0"/>
        <v>0</v>
      </c>
    </row>
    <row r="27" spans="1:12" ht="150.75" customHeight="1" thickBot="1" x14ac:dyDescent="0.3">
      <c r="A27" s="48"/>
      <c r="B27" s="24" t="s">
        <v>194</v>
      </c>
      <c r="C27" s="12" t="s">
        <v>3</v>
      </c>
      <c r="D27" s="12" t="s">
        <v>1</v>
      </c>
      <c r="E27" s="13" t="s">
        <v>195</v>
      </c>
      <c r="F27" s="22" t="s">
        <v>122</v>
      </c>
      <c r="G27" s="13" t="s">
        <v>0</v>
      </c>
      <c r="H27" s="12" t="s">
        <v>295</v>
      </c>
      <c r="I27" s="11">
        <v>2500</v>
      </c>
      <c r="J27" s="10"/>
      <c r="K27" s="9">
        <v>2500</v>
      </c>
      <c r="L27" s="8">
        <f t="shared" si="0"/>
        <v>0</v>
      </c>
    </row>
  </sheetData>
  <autoFilter ref="A2:L24"/>
  <dataConsolidate/>
  <mergeCells count="5">
    <mergeCell ref="A1:L1"/>
    <mergeCell ref="A3:A7"/>
    <mergeCell ref="A8:A17"/>
    <mergeCell ref="A18:A20"/>
    <mergeCell ref="A21:A27"/>
  </mergeCells>
  <conditionalFormatting sqref="K3:L23 I2:I23">
    <cfRule type="cellIs" dxfId="103" priority="4" operator="lessThan">
      <formula>0</formula>
    </cfRule>
  </conditionalFormatting>
  <conditionalFormatting sqref="L2">
    <cfRule type="cellIs" dxfId="102" priority="3" operator="lessThan">
      <formula>0</formula>
    </cfRule>
  </conditionalFormatting>
  <conditionalFormatting sqref="I24 K24:L24 L25:L27">
    <cfRule type="cellIs" dxfId="101" priority="2" operator="lessThan">
      <formula>0</formula>
    </cfRule>
  </conditionalFormatting>
  <conditionalFormatting sqref="I25:I27 K25:K27">
    <cfRule type="cellIs" dxfId="100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0"/>
  <sheetViews>
    <sheetView showGridLines="0" view="pageBreakPreview" zoomScale="20" zoomScaleNormal="27" zoomScaleSheetLayoutView="20" workbookViewId="0">
      <selection activeCell="W17" sqref="W17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77.5703125" style="5" customWidth="1"/>
    <col min="6" max="6" width="63.570312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318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50.75" customHeight="1" thickBot="1" x14ac:dyDescent="0.3">
      <c r="A3" s="46" t="s">
        <v>319</v>
      </c>
      <c r="B3" s="13" t="s">
        <v>136</v>
      </c>
      <c r="C3" s="12" t="s">
        <v>118</v>
      </c>
      <c r="D3" s="12" t="s">
        <v>126</v>
      </c>
      <c r="E3" s="13" t="s">
        <v>169</v>
      </c>
      <c r="F3" s="22" t="s">
        <v>122</v>
      </c>
      <c r="G3" s="13" t="s">
        <v>0</v>
      </c>
      <c r="H3" s="12" t="s">
        <v>295</v>
      </c>
      <c r="I3" s="11">
        <v>3000</v>
      </c>
      <c r="J3" s="10">
        <v>1000</v>
      </c>
      <c r="K3" s="9"/>
      <c r="L3" s="8">
        <f t="shared" ref="L3:L40" si="0">K3+J3-I3</f>
        <v>-2000</v>
      </c>
    </row>
    <row r="4" spans="1:12" ht="150.75" customHeight="1" thickBot="1" x14ac:dyDescent="0.3">
      <c r="A4" s="47"/>
      <c r="B4" s="13" t="s">
        <v>136</v>
      </c>
      <c r="C4" s="12" t="s">
        <v>3</v>
      </c>
      <c r="D4" s="12" t="s">
        <v>126</v>
      </c>
      <c r="E4" s="13" t="s">
        <v>153</v>
      </c>
      <c r="F4" s="22" t="s">
        <v>122</v>
      </c>
      <c r="G4" s="13" t="s">
        <v>0</v>
      </c>
      <c r="H4" s="12" t="s">
        <v>295</v>
      </c>
      <c r="I4" s="11">
        <v>5000</v>
      </c>
      <c r="J4" s="10">
        <v>1000</v>
      </c>
      <c r="K4" s="9"/>
      <c r="L4" s="8">
        <f t="shared" si="0"/>
        <v>-4000</v>
      </c>
    </row>
    <row r="5" spans="1:12" ht="150.75" customHeight="1" thickBot="1" x14ac:dyDescent="0.3">
      <c r="A5" s="47"/>
      <c r="B5" s="13" t="s">
        <v>38</v>
      </c>
      <c r="C5" s="12" t="s">
        <v>15</v>
      </c>
      <c r="D5" s="12" t="s">
        <v>24</v>
      </c>
      <c r="E5" s="13" t="s">
        <v>96</v>
      </c>
      <c r="F5" s="22" t="s">
        <v>4</v>
      </c>
      <c r="G5" s="13" t="s">
        <v>8</v>
      </c>
      <c r="H5" s="12" t="s">
        <v>295</v>
      </c>
      <c r="I5" s="11">
        <v>70</v>
      </c>
      <c r="J5" s="10">
        <v>70</v>
      </c>
      <c r="K5" s="9"/>
      <c r="L5" s="8">
        <f t="shared" si="0"/>
        <v>0</v>
      </c>
    </row>
    <row r="6" spans="1:12" ht="150.75" customHeight="1" thickBot="1" x14ac:dyDescent="0.3">
      <c r="A6" s="47"/>
      <c r="B6" s="13" t="s">
        <v>38</v>
      </c>
      <c r="C6" s="12" t="s">
        <v>15</v>
      </c>
      <c r="D6" s="12" t="s">
        <v>24</v>
      </c>
      <c r="E6" s="13" t="s">
        <v>96</v>
      </c>
      <c r="F6" s="22" t="s">
        <v>4</v>
      </c>
      <c r="G6" s="13" t="s">
        <v>0</v>
      </c>
      <c r="H6" s="12" t="s">
        <v>295</v>
      </c>
      <c r="I6" s="11">
        <v>504</v>
      </c>
      <c r="J6" s="10">
        <v>504</v>
      </c>
      <c r="K6" s="9"/>
      <c r="L6" s="8">
        <f t="shared" si="0"/>
        <v>0</v>
      </c>
    </row>
    <row r="7" spans="1:12" ht="150.75" customHeight="1" thickBot="1" x14ac:dyDescent="0.3">
      <c r="A7" s="47"/>
      <c r="B7" s="13" t="s">
        <v>77</v>
      </c>
      <c r="C7" s="12" t="s">
        <v>27</v>
      </c>
      <c r="D7" s="12" t="s">
        <v>24</v>
      </c>
      <c r="E7" s="13" t="s">
        <v>39</v>
      </c>
      <c r="F7" s="22" t="s">
        <v>4</v>
      </c>
      <c r="G7" s="13" t="s">
        <v>0</v>
      </c>
      <c r="H7" s="12" t="s">
        <v>295</v>
      </c>
      <c r="I7" s="11">
        <v>2455</v>
      </c>
      <c r="J7" s="10"/>
      <c r="K7" s="9"/>
      <c r="L7" s="8">
        <f t="shared" si="0"/>
        <v>-2455</v>
      </c>
    </row>
    <row r="8" spans="1:12" ht="150.75" customHeight="1" thickBot="1" x14ac:dyDescent="0.3">
      <c r="A8" s="47"/>
      <c r="B8" s="24" t="s">
        <v>77</v>
      </c>
      <c r="C8" s="12" t="s">
        <v>27</v>
      </c>
      <c r="D8" s="12" t="s">
        <v>24</v>
      </c>
      <c r="E8" s="13" t="s">
        <v>111</v>
      </c>
      <c r="F8" s="22" t="s">
        <v>4</v>
      </c>
      <c r="G8" s="13" t="s">
        <v>0</v>
      </c>
      <c r="H8" s="12" t="s">
        <v>295</v>
      </c>
      <c r="I8" s="11">
        <v>543</v>
      </c>
      <c r="J8" s="10"/>
      <c r="K8" s="9"/>
      <c r="L8" s="8">
        <f t="shared" si="0"/>
        <v>-543</v>
      </c>
    </row>
    <row r="9" spans="1:12" ht="150.75" customHeight="1" thickBot="1" x14ac:dyDescent="0.3">
      <c r="A9" s="47"/>
      <c r="B9" s="24" t="s">
        <v>77</v>
      </c>
      <c r="C9" s="12" t="s">
        <v>27</v>
      </c>
      <c r="D9" s="12" t="s">
        <v>24</v>
      </c>
      <c r="E9" s="13" t="s">
        <v>197</v>
      </c>
      <c r="F9" s="22" t="s">
        <v>4</v>
      </c>
      <c r="G9" s="13" t="s">
        <v>0</v>
      </c>
      <c r="H9" s="12" t="s">
        <v>295</v>
      </c>
      <c r="I9" s="11">
        <v>1000</v>
      </c>
      <c r="J9" s="10"/>
      <c r="K9" s="9"/>
      <c r="L9" s="8">
        <f t="shared" si="0"/>
        <v>-1000</v>
      </c>
    </row>
    <row r="10" spans="1:12" ht="150.75" customHeight="1" thickBot="1" x14ac:dyDescent="0.3">
      <c r="A10" s="47"/>
      <c r="B10" s="24" t="s">
        <v>77</v>
      </c>
      <c r="C10" s="12" t="s">
        <v>27</v>
      </c>
      <c r="D10" s="12" t="s">
        <v>24</v>
      </c>
      <c r="E10" s="13" t="s">
        <v>55</v>
      </c>
      <c r="F10" s="22" t="s">
        <v>9</v>
      </c>
      <c r="G10" s="13" t="s">
        <v>0</v>
      </c>
      <c r="H10" s="12" t="s">
        <v>295</v>
      </c>
      <c r="I10" s="11">
        <v>2000</v>
      </c>
      <c r="J10" s="10"/>
      <c r="K10" s="9"/>
      <c r="L10" s="8">
        <f t="shared" si="0"/>
        <v>-2000</v>
      </c>
    </row>
    <row r="11" spans="1:12" ht="150.75" customHeight="1" thickBot="1" x14ac:dyDescent="0.3">
      <c r="A11" s="47"/>
      <c r="B11" s="24" t="s">
        <v>112</v>
      </c>
      <c r="C11" s="12" t="s">
        <v>113</v>
      </c>
      <c r="D11" s="22" t="s">
        <v>24</v>
      </c>
      <c r="E11" s="13" t="s">
        <v>114</v>
      </c>
      <c r="F11" s="22" t="s">
        <v>4</v>
      </c>
      <c r="G11" s="13" t="s">
        <v>8</v>
      </c>
      <c r="H11" s="12" t="s">
        <v>282</v>
      </c>
      <c r="I11" s="11">
        <v>100</v>
      </c>
      <c r="J11" s="10"/>
      <c r="K11" s="9"/>
      <c r="L11" s="8">
        <f t="shared" si="0"/>
        <v>-100</v>
      </c>
    </row>
    <row r="12" spans="1:12" ht="150.75" customHeight="1" thickBot="1" x14ac:dyDescent="0.3">
      <c r="A12" s="47"/>
      <c r="B12" s="24" t="s">
        <v>112</v>
      </c>
      <c r="C12" s="12" t="s">
        <v>113</v>
      </c>
      <c r="D12" s="22" t="s">
        <v>24</v>
      </c>
      <c r="E12" s="13" t="s">
        <v>114</v>
      </c>
      <c r="F12" s="22" t="s">
        <v>4</v>
      </c>
      <c r="G12" s="13" t="s">
        <v>0</v>
      </c>
      <c r="H12" s="12" t="s">
        <v>295</v>
      </c>
      <c r="I12" s="11">
        <v>1451</v>
      </c>
      <c r="J12" s="10">
        <v>1000</v>
      </c>
      <c r="K12" s="9"/>
      <c r="L12" s="8">
        <f t="shared" si="0"/>
        <v>-451</v>
      </c>
    </row>
    <row r="13" spans="1:12" ht="150.75" customHeight="1" thickBot="1" x14ac:dyDescent="0.3">
      <c r="A13" s="47"/>
      <c r="B13" s="24" t="s">
        <v>112</v>
      </c>
      <c r="C13" s="12" t="s">
        <v>113</v>
      </c>
      <c r="D13" s="12" t="s">
        <v>24</v>
      </c>
      <c r="E13" s="13" t="s">
        <v>273</v>
      </c>
      <c r="F13" s="22" t="s">
        <v>4</v>
      </c>
      <c r="G13" s="13" t="s">
        <v>8</v>
      </c>
      <c r="H13" s="12" t="s">
        <v>295</v>
      </c>
      <c r="I13" s="11">
        <v>20</v>
      </c>
      <c r="J13" s="10"/>
      <c r="K13" s="9"/>
      <c r="L13" s="8">
        <f t="shared" si="0"/>
        <v>-20</v>
      </c>
    </row>
    <row r="14" spans="1:12" ht="150.75" customHeight="1" thickBot="1" x14ac:dyDescent="0.3">
      <c r="A14" s="47"/>
      <c r="B14" s="24" t="s">
        <v>112</v>
      </c>
      <c r="C14" s="12" t="s">
        <v>113</v>
      </c>
      <c r="D14" s="12" t="s">
        <v>24</v>
      </c>
      <c r="E14" s="13" t="s">
        <v>273</v>
      </c>
      <c r="F14" s="22" t="s">
        <v>4</v>
      </c>
      <c r="G14" s="13" t="s">
        <v>0</v>
      </c>
      <c r="H14" s="12" t="s">
        <v>295</v>
      </c>
      <c r="I14" s="11">
        <v>256</v>
      </c>
      <c r="J14" s="10"/>
      <c r="K14" s="9"/>
      <c r="L14" s="8">
        <f t="shared" si="0"/>
        <v>-256</v>
      </c>
    </row>
    <row r="15" spans="1:12" ht="150.75" customHeight="1" thickBot="1" x14ac:dyDescent="0.3">
      <c r="A15" s="47"/>
      <c r="B15" s="24" t="s">
        <v>32</v>
      </c>
      <c r="C15" s="12" t="s">
        <v>31</v>
      </c>
      <c r="D15" s="12" t="s">
        <v>24</v>
      </c>
      <c r="E15" s="13" t="s">
        <v>171</v>
      </c>
      <c r="F15" s="22" t="s">
        <v>4</v>
      </c>
      <c r="G15" s="13" t="s">
        <v>0</v>
      </c>
      <c r="H15" s="12" t="s">
        <v>295</v>
      </c>
      <c r="I15" s="11">
        <v>2257</v>
      </c>
      <c r="J15" s="10"/>
      <c r="K15" s="9"/>
      <c r="L15" s="8">
        <f t="shared" si="0"/>
        <v>-2257</v>
      </c>
    </row>
    <row r="16" spans="1:12" ht="150.75" customHeight="1" thickBot="1" x14ac:dyDescent="0.3">
      <c r="A16" s="48"/>
      <c r="B16" s="24" t="s">
        <v>28</v>
      </c>
      <c r="C16" s="12" t="s">
        <v>155</v>
      </c>
      <c r="D16" s="12" t="s">
        <v>24</v>
      </c>
      <c r="E16" s="13" t="s">
        <v>156</v>
      </c>
      <c r="F16" s="22" t="s">
        <v>4</v>
      </c>
      <c r="G16" s="13" t="s">
        <v>0</v>
      </c>
      <c r="H16" s="12" t="s">
        <v>295</v>
      </c>
      <c r="I16" s="11">
        <v>2170</v>
      </c>
      <c r="J16" s="10"/>
      <c r="K16" s="9"/>
      <c r="L16" s="8">
        <f t="shared" si="0"/>
        <v>-2170</v>
      </c>
    </row>
    <row r="17" spans="1:12" ht="150.75" customHeight="1" thickBot="1" x14ac:dyDescent="0.3">
      <c r="A17" s="46" t="s">
        <v>36</v>
      </c>
      <c r="B17" s="24" t="s">
        <v>99</v>
      </c>
      <c r="C17" s="12" t="s">
        <v>100</v>
      </c>
      <c r="D17" s="12" t="s">
        <v>24</v>
      </c>
      <c r="E17" s="13" t="s">
        <v>128</v>
      </c>
      <c r="F17" s="22" t="s">
        <v>102</v>
      </c>
      <c r="G17" s="13" t="s">
        <v>37</v>
      </c>
      <c r="H17" s="12" t="s">
        <v>245</v>
      </c>
      <c r="I17" s="11">
        <v>1500</v>
      </c>
      <c r="J17" s="10"/>
      <c r="K17" s="9"/>
      <c r="L17" s="8">
        <f t="shared" si="0"/>
        <v>-1500</v>
      </c>
    </row>
    <row r="18" spans="1:12" ht="150.75" customHeight="1" thickBot="1" x14ac:dyDescent="0.3">
      <c r="A18" s="47"/>
      <c r="B18" s="24" t="s">
        <v>28</v>
      </c>
      <c r="C18" s="12" t="s">
        <v>155</v>
      </c>
      <c r="D18" s="12" t="s">
        <v>24</v>
      </c>
      <c r="E18" s="13" t="s">
        <v>156</v>
      </c>
      <c r="F18" s="22" t="s">
        <v>4</v>
      </c>
      <c r="G18" s="13" t="s">
        <v>0</v>
      </c>
      <c r="H18" s="12" t="s">
        <v>295</v>
      </c>
      <c r="I18" s="11">
        <v>2170</v>
      </c>
      <c r="J18" s="10"/>
      <c r="K18" s="9"/>
      <c r="L18" s="8">
        <f t="shared" si="0"/>
        <v>-2170</v>
      </c>
    </row>
    <row r="19" spans="1:12" ht="150.75" customHeight="1" thickBot="1" x14ac:dyDescent="0.3">
      <c r="A19" s="47"/>
      <c r="B19" s="24" t="s">
        <v>61</v>
      </c>
      <c r="C19" s="12" t="s">
        <v>31</v>
      </c>
      <c r="D19" s="12" t="s">
        <v>24</v>
      </c>
      <c r="E19" s="13" t="s">
        <v>171</v>
      </c>
      <c r="F19" s="22" t="s">
        <v>4</v>
      </c>
      <c r="G19" s="13" t="s">
        <v>0</v>
      </c>
      <c r="H19" s="12" t="s">
        <v>295</v>
      </c>
      <c r="I19" s="11">
        <v>2757</v>
      </c>
      <c r="J19" s="10"/>
      <c r="K19" s="9"/>
      <c r="L19" s="8">
        <f t="shared" si="0"/>
        <v>-2757</v>
      </c>
    </row>
    <row r="20" spans="1:12" ht="150.75" customHeight="1" thickBot="1" x14ac:dyDescent="0.3">
      <c r="A20" s="47"/>
      <c r="B20" s="24" t="s">
        <v>40</v>
      </c>
      <c r="C20" s="12" t="s">
        <v>27</v>
      </c>
      <c r="D20" s="12" t="s">
        <v>24</v>
      </c>
      <c r="E20" s="13" t="s">
        <v>39</v>
      </c>
      <c r="F20" s="22" t="s">
        <v>4</v>
      </c>
      <c r="G20" s="13" t="s">
        <v>0</v>
      </c>
      <c r="H20" s="12" t="s">
        <v>295</v>
      </c>
      <c r="I20" s="11">
        <v>2000</v>
      </c>
      <c r="J20" s="10">
        <v>1000</v>
      </c>
      <c r="K20" s="9"/>
      <c r="L20" s="8">
        <f t="shared" si="0"/>
        <v>-1000</v>
      </c>
    </row>
    <row r="21" spans="1:12" ht="150.75" customHeight="1" thickBot="1" x14ac:dyDescent="0.3">
      <c r="A21" s="47"/>
      <c r="B21" s="24" t="s">
        <v>38</v>
      </c>
      <c r="C21" s="12" t="s">
        <v>15</v>
      </c>
      <c r="D21" s="12" t="s">
        <v>24</v>
      </c>
      <c r="E21" s="13" t="s">
        <v>96</v>
      </c>
      <c r="F21" s="22" t="s">
        <v>4</v>
      </c>
      <c r="G21" s="13" t="s">
        <v>0</v>
      </c>
      <c r="H21" s="12" t="s">
        <v>295</v>
      </c>
      <c r="I21" s="11">
        <v>2000</v>
      </c>
      <c r="J21" s="10"/>
      <c r="K21" s="9"/>
      <c r="L21" s="8">
        <f t="shared" si="0"/>
        <v>-2000</v>
      </c>
    </row>
    <row r="22" spans="1:12" ht="150.75" customHeight="1" thickBot="1" x14ac:dyDescent="0.3">
      <c r="A22" s="47"/>
      <c r="B22" s="24" t="s">
        <v>77</v>
      </c>
      <c r="C22" s="12" t="s">
        <v>27</v>
      </c>
      <c r="D22" s="12" t="s">
        <v>24</v>
      </c>
      <c r="E22" s="13" t="s">
        <v>111</v>
      </c>
      <c r="F22" s="22" t="s">
        <v>4</v>
      </c>
      <c r="G22" s="13" t="s">
        <v>0</v>
      </c>
      <c r="H22" s="12" t="s">
        <v>295</v>
      </c>
      <c r="I22" s="11">
        <v>2043</v>
      </c>
      <c r="J22" s="10"/>
      <c r="K22" s="9"/>
      <c r="L22" s="8">
        <f t="shared" si="0"/>
        <v>-2043</v>
      </c>
    </row>
    <row r="23" spans="1:12" ht="150.75" customHeight="1" thickBot="1" x14ac:dyDescent="0.3">
      <c r="A23" s="47"/>
      <c r="B23" s="24" t="s">
        <v>112</v>
      </c>
      <c r="C23" s="12" t="s">
        <v>113</v>
      </c>
      <c r="D23" s="12" t="s">
        <v>24</v>
      </c>
      <c r="E23" s="13" t="s">
        <v>114</v>
      </c>
      <c r="F23" s="22" t="s">
        <v>4</v>
      </c>
      <c r="G23" s="13" t="s">
        <v>8</v>
      </c>
      <c r="H23" s="12" t="s">
        <v>282</v>
      </c>
      <c r="I23" s="11">
        <v>100</v>
      </c>
      <c r="J23" s="10"/>
      <c r="K23" s="9"/>
      <c r="L23" s="8">
        <f t="shared" si="0"/>
        <v>-100</v>
      </c>
    </row>
    <row r="24" spans="1:12" ht="150.75" customHeight="1" thickBot="1" x14ac:dyDescent="0.3">
      <c r="A24" s="47"/>
      <c r="B24" s="24" t="s">
        <v>112</v>
      </c>
      <c r="C24" s="12" t="s">
        <v>113</v>
      </c>
      <c r="D24" s="12" t="s">
        <v>24</v>
      </c>
      <c r="E24" s="13" t="s">
        <v>114</v>
      </c>
      <c r="F24" s="22" t="s">
        <v>4</v>
      </c>
      <c r="G24" s="13" t="s">
        <v>0</v>
      </c>
      <c r="H24" s="12" t="s">
        <v>295</v>
      </c>
      <c r="I24" s="11">
        <v>1500</v>
      </c>
      <c r="J24" s="10"/>
      <c r="K24" s="9"/>
      <c r="L24" s="8">
        <f t="shared" si="0"/>
        <v>-1500</v>
      </c>
    </row>
    <row r="25" spans="1:12" ht="150.75" customHeight="1" thickBot="1" x14ac:dyDescent="0.3">
      <c r="A25" s="47"/>
      <c r="B25" s="24" t="s">
        <v>112</v>
      </c>
      <c r="C25" s="12" t="s">
        <v>113</v>
      </c>
      <c r="D25" s="12" t="s">
        <v>24</v>
      </c>
      <c r="E25" s="13" t="s">
        <v>273</v>
      </c>
      <c r="F25" s="22" t="s">
        <v>4</v>
      </c>
      <c r="G25" s="13" t="s">
        <v>8</v>
      </c>
      <c r="H25" s="12" t="s">
        <v>295</v>
      </c>
      <c r="I25" s="11">
        <v>20</v>
      </c>
      <c r="J25" s="10"/>
      <c r="K25" s="9"/>
      <c r="L25" s="8">
        <f t="shared" si="0"/>
        <v>-20</v>
      </c>
    </row>
    <row r="26" spans="1:12" ht="150.75" customHeight="1" thickBot="1" x14ac:dyDescent="0.3">
      <c r="A26" s="48"/>
      <c r="B26" s="24" t="s">
        <v>112</v>
      </c>
      <c r="C26" s="12" t="s">
        <v>113</v>
      </c>
      <c r="D26" s="12" t="s">
        <v>24</v>
      </c>
      <c r="E26" s="13" t="s">
        <v>273</v>
      </c>
      <c r="F26" s="22" t="s">
        <v>4</v>
      </c>
      <c r="G26" s="13" t="s">
        <v>0</v>
      </c>
      <c r="H26" s="12" t="s">
        <v>295</v>
      </c>
      <c r="I26" s="11">
        <v>1256</v>
      </c>
      <c r="J26" s="10"/>
      <c r="K26" s="9"/>
      <c r="L26" s="8">
        <f t="shared" si="0"/>
        <v>-1256</v>
      </c>
    </row>
    <row r="27" spans="1:12" ht="150.75" customHeight="1" thickBot="1" x14ac:dyDescent="0.3">
      <c r="A27" s="46" t="s">
        <v>23</v>
      </c>
      <c r="B27" s="24" t="s">
        <v>12</v>
      </c>
      <c r="C27" s="12" t="s">
        <v>6</v>
      </c>
      <c r="D27" s="12" t="s">
        <v>20</v>
      </c>
      <c r="E27" s="13" t="s">
        <v>22</v>
      </c>
      <c r="F27" s="22" t="s">
        <v>4</v>
      </c>
      <c r="G27" s="13" t="s">
        <v>0</v>
      </c>
      <c r="H27" s="12" t="s">
        <v>295</v>
      </c>
      <c r="I27" s="11">
        <v>2750</v>
      </c>
      <c r="J27" s="10">
        <v>1000</v>
      </c>
      <c r="K27" s="9"/>
      <c r="L27" s="8">
        <f t="shared" si="0"/>
        <v>-1750</v>
      </c>
    </row>
    <row r="28" spans="1:12" ht="150.75" customHeight="1" thickBot="1" x14ac:dyDescent="0.3">
      <c r="A28" s="47"/>
      <c r="B28" s="24" t="s">
        <v>21</v>
      </c>
      <c r="C28" s="12" t="s">
        <v>118</v>
      </c>
      <c r="D28" s="12" t="s">
        <v>20</v>
      </c>
      <c r="E28" s="13" t="s">
        <v>222</v>
      </c>
      <c r="F28" s="22" t="s">
        <v>4</v>
      </c>
      <c r="G28" s="13" t="s">
        <v>0</v>
      </c>
      <c r="H28" s="12" t="s">
        <v>295</v>
      </c>
      <c r="I28" s="11">
        <v>2605</v>
      </c>
      <c r="J28" s="10">
        <v>1000</v>
      </c>
      <c r="K28" s="9"/>
      <c r="L28" s="8">
        <f t="shared" si="0"/>
        <v>-1605</v>
      </c>
    </row>
    <row r="29" spans="1:12" ht="150.75" customHeight="1" thickBot="1" x14ac:dyDescent="0.3">
      <c r="A29" s="48"/>
      <c r="B29" s="24" t="s">
        <v>21</v>
      </c>
      <c r="C29" s="12" t="s">
        <v>3</v>
      </c>
      <c r="D29" s="12" t="s">
        <v>20</v>
      </c>
      <c r="E29" s="13" t="s">
        <v>56</v>
      </c>
      <c r="F29" s="22" t="s">
        <v>9</v>
      </c>
      <c r="G29" s="13" t="s">
        <v>0</v>
      </c>
      <c r="H29" s="12" t="s">
        <v>295</v>
      </c>
      <c r="I29" s="11">
        <v>7000</v>
      </c>
      <c r="J29" s="10">
        <v>1000</v>
      </c>
      <c r="K29" s="9"/>
      <c r="L29" s="8">
        <f t="shared" si="0"/>
        <v>-6000</v>
      </c>
    </row>
    <row r="30" spans="1:12" ht="150.75" customHeight="1" thickBot="1" x14ac:dyDescent="0.3">
      <c r="A30" s="46" t="s">
        <v>19</v>
      </c>
      <c r="B30" s="24" t="s">
        <v>7</v>
      </c>
      <c r="C30" s="12" t="s">
        <v>17</v>
      </c>
      <c r="D30" s="12" t="s">
        <v>120</v>
      </c>
      <c r="E30" s="13" t="s">
        <v>121</v>
      </c>
      <c r="F30" s="22" t="s">
        <v>122</v>
      </c>
      <c r="G30" s="13" t="s">
        <v>0</v>
      </c>
      <c r="H30" s="12" t="s">
        <v>316</v>
      </c>
      <c r="I30" s="11">
        <v>4000</v>
      </c>
      <c r="J30" s="10">
        <v>1000</v>
      </c>
      <c r="K30" s="9"/>
      <c r="L30" s="8">
        <f t="shared" si="0"/>
        <v>-3000</v>
      </c>
    </row>
    <row r="31" spans="1:12" ht="150.75" customHeight="1" thickBot="1" x14ac:dyDescent="0.3">
      <c r="A31" s="47"/>
      <c r="B31" s="24" t="s">
        <v>157</v>
      </c>
      <c r="C31" s="12" t="s">
        <v>320</v>
      </c>
      <c r="D31" s="12" t="s">
        <v>14</v>
      </c>
      <c r="E31" s="13" t="s">
        <v>321</v>
      </c>
      <c r="F31" s="22" t="s">
        <v>4</v>
      </c>
      <c r="G31" s="13" t="s">
        <v>37</v>
      </c>
      <c r="H31" s="12" t="s">
        <v>295</v>
      </c>
      <c r="I31" s="11">
        <v>40</v>
      </c>
      <c r="J31" s="10"/>
      <c r="K31" s="9"/>
      <c r="L31" s="8">
        <f t="shared" si="0"/>
        <v>-40</v>
      </c>
    </row>
    <row r="32" spans="1:12" ht="150.75" customHeight="1" thickBot="1" x14ac:dyDescent="0.3">
      <c r="A32" s="47"/>
      <c r="B32" s="24" t="s">
        <v>7</v>
      </c>
      <c r="C32" s="12" t="s">
        <v>15</v>
      </c>
      <c r="D32" s="12" t="s">
        <v>14</v>
      </c>
      <c r="E32" s="13" t="s">
        <v>65</v>
      </c>
      <c r="F32" s="22" t="s">
        <v>4</v>
      </c>
      <c r="G32" s="13" t="s">
        <v>0</v>
      </c>
      <c r="H32" s="12" t="s">
        <v>295</v>
      </c>
      <c r="I32" s="11">
        <v>628</v>
      </c>
      <c r="J32" s="10"/>
      <c r="K32" s="9"/>
      <c r="L32" s="8">
        <f t="shared" si="0"/>
        <v>-628</v>
      </c>
    </row>
    <row r="33" spans="1:12" ht="150.75" customHeight="1" thickBot="1" x14ac:dyDescent="0.3">
      <c r="A33" s="47"/>
      <c r="B33" s="24" t="s">
        <v>7</v>
      </c>
      <c r="C33" s="12" t="s">
        <v>15</v>
      </c>
      <c r="D33" s="12" t="s">
        <v>14</v>
      </c>
      <c r="E33" s="13" t="s">
        <v>58</v>
      </c>
      <c r="F33" s="22" t="s">
        <v>4</v>
      </c>
      <c r="G33" s="13" t="s">
        <v>0</v>
      </c>
      <c r="H33" s="12" t="s">
        <v>295</v>
      </c>
      <c r="I33" s="11">
        <v>1470</v>
      </c>
      <c r="J33" s="10"/>
      <c r="K33" s="9"/>
      <c r="L33" s="8">
        <f t="shared" si="0"/>
        <v>-1470</v>
      </c>
    </row>
    <row r="34" spans="1:12" ht="150.75" customHeight="1" thickBot="1" x14ac:dyDescent="0.3">
      <c r="A34" s="47"/>
      <c r="B34" s="24" t="s">
        <v>7</v>
      </c>
      <c r="C34" s="12" t="s">
        <v>15</v>
      </c>
      <c r="D34" s="12" t="s">
        <v>14</v>
      </c>
      <c r="E34" s="13" t="s">
        <v>13</v>
      </c>
      <c r="F34" s="22" t="s">
        <v>4</v>
      </c>
      <c r="G34" s="13" t="s">
        <v>8</v>
      </c>
      <c r="H34" s="12" t="s">
        <v>295</v>
      </c>
      <c r="I34" s="11">
        <v>20</v>
      </c>
      <c r="J34" s="10"/>
      <c r="K34" s="9"/>
      <c r="L34" s="8">
        <f t="shared" si="0"/>
        <v>-20</v>
      </c>
    </row>
    <row r="35" spans="1:12" ht="150.75" customHeight="1" thickBot="1" x14ac:dyDescent="0.3">
      <c r="A35" s="47"/>
      <c r="B35" s="24" t="s">
        <v>12</v>
      </c>
      <c r="C35" s="12" t="s">
        <v>118</v>
      </c>
      <c r="D35" s="12" t="s">
        <v>123</v>
      </c>
      <c r="E35" s="13" t="s">
        <v>124</v>
      </c>
      <c r="F35" s="22" t="s">
        <v>4</v>
      </c>
      <c r="G35" s="13" t="s">
        <v>0</v>
      </c>
      <c r="H35" s="12" t="s">
        <v>295</v>
      </c>
      <c r="I35" s="11">
        <v>1365</v>
      </c>
      <c r="J35" s="10">
        <v>500</v>
      </c>
      <c r="K35" s="9"/>
      <c r="L35" s="8">
        <f t="shared" si="0"/>
        <v>-865</v>
      </c>
    </row>
    <row r="36" spans="1:12" ht="150.75" customHeight="1" thickBot="1" x14ac:dyDescent="0.3">
      <c r="A36" s="47"/>
      <c r="B36" s="24" t="s">
        <v>12</v>
      </c>
      <c r="C36" s="12" t="s">
        <v>3</v>
      </c>
      <c r="D36" s="12" t="s">
        <v>11</v>
      </c>
      <c r="E36" s="13" t="s">
        <v>10</v>
      </c>
      <c r="F36" s="22" t="s">
        <v>4</v>
      </c>
      <c r="G36" s="13" t="s">
        <v>0</v>
      </c>
      <c r="H36" s="12" t="s">
        <v>295</v>
      </c>
      <c r="I36" s="11">
        <v>7000</v>
      </c>
      <c r="J36" s="10">
        <v>2000</v>
      </c>
      <c r="K36" s="9"/>
      <c r="L36" s="8">
        <f t="shared" si="0"/>
        <v>-5000</v>
      </c>
    </row>
    <row r="37" spans="1:12" ht="150.75" customHeight="1" thickBot="1" x14ac:dyDescent="0.3">
      <c r="A37" s="47"/>
      <c r="B37" s="24" t="s">
        <v>12</v>
      </c>
      <c r="C37" s="12" t="s">
        <v>3</v>
      </c>
      <c r="D37" s="12" t="s">
        <v>11</v>
      </c>
      <c r="E37" s="13" t="s">
        <v>10</v>
      </c>
      <c r="F37" s="22" t="s">
        <v>9</v>
      </c>
      <c r="G37" s="13" t="s">
        <v>0</v>
      </c>
      <c r="H37" s="12" t="s">
        <v>295</v>
      </c>
      <c r="I37" s="11">
        <v>5000</v>
      </c>
      <c r="J37" s="10"/>
      <c r="K37" s="9"/>
      <c r="L37" s="8">
        <f t="shared" si="0"/>
        <v>-5000</v>
      </c>
    </row>
    <row r="38" spans="1:12" ht="150.75" customHeight="1" thickBot="1" x14ac:dyDescent="0.3">
      <c r="A38" s="47"/>
      <c r="B38" s="24" t="s">
        <v>7</v>
      </c>
      <c r="C38" s="12" t="s">
        <v>6</v>
      </c>
      <c r="D38" s="12" t="s">
        <v>1</v>
      </c>
      <c r="E38" s="13" t="s">
        <v>5</v>
      </c>
      <c r="F38" s="22" t="s">
        <v>4</v>
      </c>
      <c r="G38" s="13" t="s">
        <v>0</v>
      </c>
      <c r="H38" s="12" t="s">
        <v>295</v>
      </c>
      <c r="I38" s="11">
        <v>3640</v>
      </c>
      <c r="J38" s="10">
        <v>1000</v>
      </c>
      <c r="K38" s="9"/>
      <c r="L38" s="8">
        <f t="shared" si="0"/>
        <v>-2640</v>
      </c>
    </row>
    <row r="39" spans="1:12" ht="150.75" customHeight="1" thickBot="1" x14ac:dyDescent="0.3">
      <c r="A39" s="47"/>
      <c r="B39" s="24" t="s">
        <v>194</v>
      </c>
      <c r="C39" s="12" t="s">
        <v>3</v>
      </c>
      <c r="D39" s="12" t="s">
        <v>1</v>
      </c>
      <c r="E39" s="13" t="s">
        <v>195</v>
      </c>
      <c r="F39" s="22" t="s">
        <v>122</v>
      </c>
      <c r="G39" s="13" t="s">
        <v>0</v>
      </c>
      <c r="H39" s="12" t="s">
        <v>295</v>
      </c>
      <c r="I39" s="11">
        <v>2500</v>
      </c>
      <c r="J39" s="10"/>
      <c r="K39" s="9"/>
      <c r="L39" s="8">
        <f t="shared" si="0"/>
        <v>-2500</v>
      </c>
    </row>
    <row r="40" spans="1:12" ht="150.75" customHeight="1" thickBot="1" x14ac:dyDescent="0.3">
      <c r="A40" s="48"/>
      <c r="B40" s="24" t="s">
        <v>194</v>
      </c>
      <c r="C40" s="12" t="s">
        <v>118</v>
      </c>
      <c r="D40" s="12" t="s">
        <v>1</v>
      </c>
      <c r="E40" s="13" t="s">
        <v>216</v>
      </c>
      <c r="F40" s="22" t="s">
        <v>122</v>
      </c>
      <c r="G40" s="13" t="s">
        <v>0</v>
      </c>
      <c r="H40" s="12" t="s">
        <v>295</v>
      </c>
      <c r="I40" s="11">
        <v>5000</v>
      </c>
      <c r="J40" s="10">
        <v>100</v>
      </c>
      <c r="K40" s="9"/>
      <c r="L40" s="8">
        <f t="shared" si="0"/>
        <v>-4900</v>
      </c>
    </row>
  </sheetData>
  <autoFilter ref="A2:L40"/>
  <dataConsolidate/>
  <mergeCells count="5">
    <mergeCell ref="A1:L1"/>
    <mergeCell ref="A3:A16"/>
    <mergeCell ref="A17:A26"/>
    <mergeCell ref="A27:A29"/>
    <mergeCell ref="A30:A40"/>
  </mergeCells>
  <conditionalFormatting sqref="K3:L21 I2:I21">
    <cfRule type="cellIs" dxfId="99" priority="4" operator="lessThan">
      <formula>0</formula>
    </cfRule>
  </conditionalFormatting>
  <conditionalFormatting sqref="L2">
    <cfRule type="cellIs" dxfId="98" priority="3" operator="lessThan">
      <formula>0</formula>
    </cfRule>
  </conditionalFormatting>
  <conditionalFormatting sqref="I22 K22:L22 L23:L40">
    <cfRule type="cellIs" dxfId="97" priority="2" operator="lessThan">
      <formula>0</formula>
    </cfRule>
  </conditionalFormatting>
  <conditionalFormatting sqref="I23:I40 K23:K40">
    <cfRule type="cellIs" dxfId="96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58"/>
  <sheetViews>
    <sheetView showGridLines="0" view="pageBreakPreview" zoomScale="20" zoomScaleNormal="15" zoomScaleSheetLayoutView="20" workbookViewId="0">
      <selection activeCell="K34" sqref="K34:K58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108.7109375" style="5" bestFit="1" customWidth="1"/>
    <col min="6" max="6" width="84.42578125" style="6" bestFit="1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322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13.25" customHeight="1" thickBot="1" x14ac:dyDescent="0.3">
      <c r="A3" s="46" t="s">
        <v>319</v>
      </c>
      <c r="B3" s="13" t="s">
        <v>136</v>
      </c>
      <c r="C3" s="12" t="s">
        <v>118</v>
      </c>
      <c r="D3" s="12" t="s">
        <v>126</v>
      </c>
      <c r="E3" s="13" t="s">
        <v>169</v>
      </c>
      <c r="F3" s="22" t="s">
        <v>122</v>
      </c>
      <c r="G3" s="13" t="s">
        <v>0</v>
      </c>
      <c r="H3" s="12" t="s">
        <v>295</v>
      </c>
      <c r="I3" s="11">
        <v>1000</v>
      </c>
      <c r="J3" s="10">
        <v>1000</v>
      </c>
      <c r="K3" s="9"/>
      <c r="L3" s="8">
        <f t="shared" ref="L3:L50" si="0">K3+J3-I3</f>
        <v>0</v>
      </c>
    </row>
    <row r="4" spans="1:12" ht="113.25" customHeight="1" thickBot="1" x14ac:dyDescent="0.3">
      <c r="A4" s="47"/>
      <c r="B4" s="13" t="s">
        <v>136</v>
      </c>
      <c r="C4" s="12" t="s">
        <v>118</v>
      </c>
      <c r="D4" s="12" t="s">
        <v>126</v>
      </c>
      <c r="E4" s="13" t="s">
        <v>323</v>
      </c>
      <c r="F4" s="22" t="s">
        <v>131</v>
      </c>
      <c r="G4" s="13" t="s">
        <v>37</v>
      </c>
      <c r="H4" s="12" t="s">
        <v>295</v>
      </c>
      <c r="I4" s="11">
        <v>727</v>
      </c>
      <c r="J4" s="10"/>
      <c r="K4" s="9">
        <v>727</v>
      </c>
      <c r="L4" s="8">
        <f t="shared" si="0"/>
        <v>0</v>
      </c>
    </row>
    <row r="5" spans="1:12" ht="113.25" customHeight="1" thickBot="1" x14ac:dyDescent="0.3">
      <c r="A5" s="47"/>
      <c r="B5" s="13" t="s">
        <v>136</v>
      </c>
      <c r="C5" s="12" t="s">
        <v>118</v>
      </c>
      <c r="D5" s="12" t="s">
        <v>126</v>
      </c>
      <c r="E5" s="13" t="s">
        <v>324</v>
      </c>
      <c r="F5" s="22" t="s">
        <v>131</v>
      </c>
      <c r="G5" s="13" t="s">
        <v>37</v>
      </c>
      <c r="H5" s="12" t="s">
        <v>295</v>
      </c>
      <c r="I5" s="11">
        <v>125</v>
      </c>
      <c r="J5" s="10"/>
      <c r="K5" s="9">
        <v>125</v>
      </c>
      <c r="L5" s="8">
        <f t="shared" si="0"/>
        <v>0</v>
      </c>
    </row>
    <row r="6" spans="1:12" ht="113.25" customHeight="1" thickBot="1" x14ac:dyDescent="0.3">
      <c r="A6" s="47"/>
      <c r="B6" s="13" t="s">
        <v>136</v>
      </c>
      <c r="C6" s="12" t="s">
        <v>118</v>
      </c>
      <c r="D6" s="12" t="s">
        <v>126</v>
      </c>
      <c r="E6" s="13" t="s">
        <v>169</v>
      </c>
      <c r="F6" s="22" t="s">
        <v>122</v>
      </c>
      <c r="G6" s="13" t="s">
        <v>0</v>
      </c>
      <c r="H6" s="12" t="s">
        <v>295</v>
      </c>
      <c r="I6" s="11">
        <v>3000</v>
      </c>
      <c r="J6" s="10"/>
      <c r="K6" s="9">
        <v>3000</v>
      </c>
      <c r="L6" s="8">
        <f t="shared" si="0"/>
        <v>0</v>
      </c>
    </row>
    <row r="7" spans="1:12" ht="113.25" customHeight="1" thickBot="1" x14ac:dyDescent="0.3">
      <c r="A7" s="47"/>
      <c r="B7" s="13" t="s">
        <v>136</v>
      </c>
      <c r="C7" s="12" t="s">
        <v>3</v>
      </c>
      <c r="D7" s="12" t="s">
        <v>126</v>
      </c>
      <c r="E7" s="13" t="s">
        <v>153</v>
      </c>
      <c r="F7" s="22" t="s">
        <v>122</v>
      </c>
      <c r="G7" s="13" t="s">
        <v>0</v>
      </c>
      <c r="H7" s="12" t="s">
        <v>295</v>
      </c>
      <c r="I7" s="11">
        <v>5000</v>
      </c>
      <c r="J7" s="10">
        <v>1000</v>
      </c>
      <c r="K7" s="9">
        <v>4000</v>
      </c>
      <c r="L7" s="8">
        <f t="shared" si="0"/>
        <v>0</v>
      </c>
    </row>
    <row r="8" spans="1:12" ht="113.25" customHeight="1" thickBot="1" x14ac:dyDescent="0.3">
      <c r="A8" s="47"/>
      <c r="B8" s="24" t="s">
        <v>136</v>
      </c>
      <c r="C8" s="12" t="s">
        <v>3</v>
      </c>
      <c r="D8" s="12" t="s">
        <v>126</v>
      </c>
      <c r="E8" s="13" t="s">
        <v>153</v>
      </c>
      <c r="F8" s="22" t="s">
        <v>122</v>
      </c>
      <c r="G8" s="13" t="s">
        <v>0</v>
      </c>
      <c r="H8" s="12" t="s">
        <v>316</v>
      </c>
      <c r="I8" s="11">
        <v>5000</v>
      </c>
      <c r="J8" s="10"/>
      <c r="K8" s="9">
        <v>5000</v>
      </c>
      <c r="L8" s="8">
        <f t="shared" si="0"/>
        <v>0</v>
      </c>
    </row>
    <row r="9" spans="1:12" ht="113.25" customHeight="1" thickBot="1" x14ac:dyDescent="0.3">
      <c r="A9" s="47"/>
      <c r="B9" s="24" t="s">
        <v>38</v>
      </c>
      <c r="C9" s="12" t="s">
        <v>15</v>
      </c>
      <c r="D9" s="12" t="s">
        <v>24</v>
      </c>
      <c r="E9" s="13" t="s">
        <v>96</v>
      </c>
      <c r="F9" s="22" t="s">
        <v>4</v>
      </c>
      <c r="G9" s="13" t="s">
        <v>0</v>
      </c>
      <c r="H9" s="12" t="s">
        <v>316</v>
      </c>
      <c r="I9" s="11">
        <v>3000</v>
      </c>
      <c r="J9" s="10">
        <v>1000</v>
      </c>
      <c r="K9" s="9">
        <v>2000</v>
      </c>
      <c r="L9" s="8">
        <f t="shared" si="0"/>
        <v>0</v>
      </c>
    </row>
    <row r="10" spans="1:12" ht="113.25" customHeight="1" thickBot="1" x14ac:dyDescent="0.3">
      <c r="A10" s="47"/>
      <c r="B10" s="24" t="s">
        <v>77</v>
      </c>
      <c r="C10" s="12" t="s">
        <v>27</v>
      </c>
      <c r="D10" s="12" t="s">
        <v>24</v>
      </c>
      <c r="E10" s="37" t="s">
        <v>55</v>
      </c>
      <c r="F10" s="22" t="s">
        <v>9</v>
      </c>
      <c r="G10" s="13" t="s">
        <v>0</v>
      </c>
      <c r="H10" s="12" t="s">
        <v>295</v>
      </c>
      <c r="I10" s="11">
        <v>2000</v>
      </c>
      <c r="J10" s="10">
        <v>1000</v>
      </c>
      <c r="K10" s="9">
        <v>1000</v>
      </c>
      <c r="L10" s="8">
        <f t="shared" si="0"/>
        <v>0</v>
      </c>
    </row>
    <row r="11" spans="1:12" ht="113.25" customHeight="1" thickBot="1" x14ac:dyDescent="0.3">
      <c r="A11" s="47"/>
      <c r="B11" s="24" t="s">
        <v>77</v>
      </c>
      <c r="C11" s="12" t="s">
        <v>27</v>
      </c>
      <c r="D11" s="22" t="s">
        <v>24</v>
      </c>
      <c r="E11" s="13" t="s">
        <v>111</v>
      </c>
      <c r="F11" s="22" t="s">
        <v>4</v>
      </c>
      <c r="G11" s="13" t="s">
        <v>0</v>
      </c>
      <c r="H11" s="12" t="s">
        <v>316</v>
      </c>
      <c r="I11" s="11">
        <v>1000</v>
      </c>
      <c r="J11" s="10"/>
      <c r="K11" s="9">
        <v>1000</v>
      </c>
      <c r="L11" s="8">
        <f t="shared" si="0"/>
        <v>0</v>
      </c>
    </row>
    <row r="12" spans="1:12" ht="113.25" customHeight="1" thickBot="1" x14ac:dyDescent="0.3">
      <c r="A12" s="47"/>
      <c r="B12" s="24" t="s">
        <v>77</v>
      </c>
      <c r="C12" s="12" t="s">
        <v>27</v>
      </c>
      <c r="D12" s="22" t="s">
        <v>24</v>
      </c>
      <c r="E12" s="13" t="s">
        <v>197</v>
      </c>
      <c r="F12" s="22" t="s">
        <v>4</v>
      </c>
      <c r="G12" s="13" t="s">
        <v>0</v>
      </c>
      <c r="H12" s="12" t="s">
        <v>316</v>
      </c>
      <c r="I12" s="11">
        <v>5000</v>
      </c>
      <c r="J12" s="10">
        <v>1000</v>
      </c>
      <c r="K12" s="9">
        <v>4000</v>
      </c>
      <c r="L12" s="8">
        <f t="shared" si="0"/>
        <v>0</v>
      </c>
    </row>
    <row r="13" spans="1:12" ht="113.25" customHeight="1" thickBot="1" x14ac:dyDescent="0.3">
      <c r="A13" s="47"/>
      <c r="B13" s="24" t="s">
        <v>77</v>
      </c>
      <c r="C13" s="12" t="s">
        <v>27</v>
      </c>
      <c r="D13" s="12" t="s">
        <v>24</v>
      </c>
      <c r="E13" s="13" t="s">
        <v>39</v>
      </c>
      <c r="F13" s="22" t="s">
        <v>4</v>
      </c>
      <c r="G13" s="13" t="s">
        <v>0</v>
      </c>
      <c r="H13" s="12" t="s">
        <v>316</v>
      </c>
      <c r="I13" s="11">
        <v>1000</v>
      </c>
      <c r="J13" s="10"/>
      <c r="K13" s="9">
        <v>1000</v>
      </c>
      <c r="L13" s="8">
        <f t="shared" si="0"/>
        <v>0</v>
      </c>
    </row>
    <row r="14" spans="1:12" ht="113.25" customHeight="1" thickBot="1" x14ac:dyDescent="0.3">
      <c r="A14" s="47"/>
      <c r="B14" s="24" t="s">
        <v>77</v>
      </c>
      <c r="C14" s="12" t="s">
        <v>27</v>
      </c>
      <c r="D14" s="12" t="s">
        <v>24</v>
      </c>
      <c r="E14" s="13" t="s">
        <v>76</v>
      </c>
      <c r="F14" s="22" t="s">
        <v>4</v>
      </c>
      <c r="G14" s="13" t="s">
        <v>0</v>
      </c>
      <c r="H14" s="12" t="s">
        <v>316</v>
      </c>
      <c r="I14" s="11">
        <v>2000</v>
      </c>
      <c r="J14" s="10"/>
      <c r="K14" s="9">
        <v>2000</v>
      </c>
      <c r="L14" s="8">
        <f t="shared" si="0"/>
        <v>0</v>
      </c>
    </row>
    <row r="15" spans="1:12" ht="113.25" customHeight="1" thickBot="1" x14ac:dyDescent="0.3">
      <c r="A15" s="47"/>
      <c r="B15" s="24" t="s">
        <v>112</v>
      </c>
      <c r="C15" s="12" t="s">
        <v>113</v>
      </c>
      <c r="D15" s="12" t="s">
        <v>24</v>
      </c>
      <c r="E15" s="13" t="s">
        <v>273</v>
      </c>
      <c r="F15" s="22" t="s">
        <v>4</v>
      </c>
      <c r="G15" s="13" t="s">
        <v>0</v>
      </c>
      <c r="H15" s="12" t="s">
        <v>316</v>
      </c>
      <c r="I15" s="11">
        <v>400</v>
      </c>
      <c r="J15" s="10"/>
      <c r="K15" s="9">
        <v>400</v>
      </c>
      <c r="L15" s="8">
        <f t="shared" si="0"/>
        <v>0</v>
      </c>
    </row>
    <row r="16" spans="1:12" ht="113.25" customHeight="1" thickBot="1" x14ac:dyDescent="0.3">
      <c r="A16" s="47"/>
      <c r="B16" s="24" t="s">
        <v>112</v>
      </c>
      <c r="C16" s="12" t="s">
        <v>113</v>
      </c>
      <c r="D16" s="12" t="s">
        <v>24</v>
      </c>
      <c r="E16" s="13" t="s">
        <v>114</v>
      </c>
      <c r="F16" s="22" t="s">
        <v>4</v>
      </c>
      <c r="G16" s="13" t="s">
        <v>0</v>
      </c>
      <c r="H16" s="12" t="s">
        <v>316</v>
      </c>
      <c r="I16" s="11">
        <v>3000</v>
      </c>
      <c r="J16" s="10">
        <v>1000</v>
      </c>
      <c r="K16" s="9">
        <v>2000</v>
      </c>
      <c r="L16" s="8">
        <f t="shared" si="0"/>
        <v>0</v>
      </c>
    </row>
    <row r="17" spans="1:12" ht="113.25" customHeight="1" thickBot="1" x14ac:dyDescent="0.3">
      <c r="A17" s="47"/>
      <c r="B17" s="24" t="s">
        <v>32</v>
      </c>
      <c r="C17" s="12" t="s">
        <v>31</v>
      </c>
      <c r="D17" s="12" t="s">
        <v>24</v>
      </c>
      <c r="E17" s="13" t="s">
        <v>116</v>
      </c>
      <c r="F17" s="22" t="s">
        <v>9</v>
      </c>
      <c r="G17" s="13" t="s">
        <v>0</v>
      </c>
      <c r="H17" s="12" t="s">
        <v>316</v>
      </c>
      <c r="I17" s="11">
        <v>2500</v>
      </c>
      <c r="J17" s="10">
        <v>1000</v>
      </c>
      <c r="K17" s="9">
        <v>1500</v>
      </c>
      <c r="L17" s="8">
        <f t="shared" si="0"/>
        <v>0</v>
      </c>
    </row>
    <row r="18" spans="1:12" ht="113.25" customHeight="1" thickBot="1" x14ac:dyDescent="0.3">
      <c r="A18" s="47"/>
      <c r="B18" s="24" t="s">
        <v>32</v>
      </c>
      <c r="C18" s="12" t="s">
        <v>31</v>
      </c>
      <c r="D18" s="12" t="s">
        <v>24</v>
      </c>
      <c r="E18" s="13" t="s">
        <v>78</v>
      </c>
      <c r="F18" s="22" t="s">
        <v>4</v>
      </c>
      <c r="G18" s="13" t="s">
        <v>0</v>
      </c>
      <c r="H18" s="12" t="s">
        <v>316</v>
      </c>
      <c r="I18" s="11">
        <v>3000</v>
      </c>
      <c r="J18" s="10"/>
      <c r="K18" s="9">
        <v>3000</v>
      </c>
      <c r="L18" s="8">
        <f t="shared" si="0"/>
        <v>0</v>
      </c>
    </row>
    <row r="19" spans="1:12" ht="113.25" customHeight="1" thickBot="1" x14ac:dyDescent="0.3">
      <c r="A19" s="47"/>
      <c r="B19" s="24" t="s">
        <v>325</v>
      </c>
      <c r="C19" s="12" t="s">
        <v>155</v>
      </c>
      <c r="D19" s="12" t="s">
        <v>24</v>
      </c>
      <c r="E19" s="13" t="s">
        <v>156</v>
      </c>
      <c r="F19" s="22" t="s">
        <v>4</v>
      </c>
      <c r="G19" s="13" t="s">
        <v>0</v>
      </c>
      <c r="H19" s="12" t="s">
        <v>295</v>
      </c>
      <c r="I19" s="11">
        <v>2000</v>
      </c>
      <c r="J19" s="10">
        <v>1000</v>
      </c>
      <c r="K19" s="9">
        <v>1000</v>
      </c>
      <c r="L19" s="8">
        <f t="shared" si="0"/>
        <v>0</v>
      </c>
    </row>
    <row r="20" spans="1:12" ht="113.25" customHeight="1" thickBot="1" x14ac:dyDescent="0.3">
      <c r="A20" s="53"/>
      <c r="B20" s="24" t="s">
        <v>325</v>
      </c>
      <c r="C20" s="12" t="s">
        <v>155</v>
      </c>
      <c r="D20" s="12" t="s">
        <v>24</v>
      </c>
      <c r="E20" s="13" t="s">
        <v>156</v>
      </c>
      <c r="F20" s="22" t="s">
        <v>4</v>
      </c>
      <c r="G20" s="13" t="s">
        <v>0</v>
      </c>
      <c r="H20" s="12" t="s">
        <v>316</v>
      </c>
      <c r="I20" s="11">
        <v>2230</v>
      </c>
      <c r="J20" s="10"/>
      <c r="K20" s="9">
        <f>1000+1230</f>
        <v>2230</v>
      </c>
      <c r="L20" s="8">
        <f t="shared" si="0"/>
        <v>0</v>
      </c>
    </row>
    <row r="21" spans="1:12" ht="113.25" customHeight="1" thickBot="1" x14ac:dyDescent="0.3">
      <c r="A21" s="52" t="s">
        <v>36</v>
      </c>
      <c r="B21" s="24" t="s">
        <v>99</v>
      </c>
      <c r="C21" s="12" t="s">
        <v>100</v>
      </c>
      <c r="D21" s="12" t="s">
        <v>24</v>
      </c>
      <c r="E21" s="13" t="s">
        <v>326</v>
      </c>
      <c r="F21" s="22" t="s">
        <v>102</v>
      </c>
      <c r="G21" s="13" t="s">
        <v>37</v>
      </c>
      <c r="H21" s="12" t="s">
        <v>316</v>
      </c>
      <c r="I21" s="11">
        <v>1000</v>
      </c>
      <c r="J21" s="10">
        <v>500</v>
      </c>
      <c r="K21" s="9">
        <v>500</v>
      </c>
      <c r="L21" s="8">
        <f t="shared" si="0"/>
        <v>0</v>
      </c>
    </row>
    <row r="22" spans="1:12" ht="113.25" customHeight="1" thickBot="1" x14ac:dyDescent="0.3">
      <c r="A22" s="47"/>
      <c r="B22" s="24" t="s">
        <v>28</v>
      </c>
      <c r="C22" s="12" t="s">
        <v>155</v>
      </c>
      <c r="D22" s="12" t="s">
        <v>24</v>
      </c>
      <c r="E22" s="13" t="s">
        <v>156</v>
      </c>
      <c r="F22" s="22" t="s">
        <v>4</v>
      </c>
      <c r="G22" s="13" t="s">
        <v>0</v>
      </c>
      <c r="H22" s="12" t="s">
        <v>295</v>
      </c>
      <c r="I22" s="11">
        <v>3000</v>
      </c>
      <c r="J22" s="10">
        <v>1000</v>
      </c>
      <c r="K22" s="9">
        <v>2000</v>
      </c>
      <c r="L22" s="8">
        <f t="shared" si="0"/>
        <v>0</v>
      </c>
    </row>
    <row r="23" spans="1:12" ht="113.25" customHeight="1" thickBot="1" x14ac:dyDescent="0.3">
      <c r="A23" s="47"/>
      <c r="B23" s="24" t="s">
        <v>35</v>
      </c>
      <c r="C23" s="12" t="s">
        <v>155</v>
      </c>
      <c r="D23" s="12" t="s">
        <v>24</v>
      </c>
      <c r="E23" s="13" t="s">
        <v>156</v>
      </c>
      <c r="F23" s="22" t="s">
        <v>4</v>
      </c>
      <c r="G23" s="13" t="s">
        <v>0</v>
      </c>
      <c r="H23" s="12" t="s">
        <v>295</v>
      </c>
      <c r="I23" s="11">
        <v>1000</v>
      </c>
      <c r="J23" s="10"/>
      <c r="K23" s="9">
        <v>1000</v>
      </c>
      <c r="L23" s="8">
        <f t="shared" si="0"/>
        <v>0</v>
      </c>
    </row>
    <row r="24" spans="1:12" ht="113.25" customHeight="1" thickBot="1" x14ac:dyDescent="0.3">
      <c r="A24" s="47"/>
      <c r="B24" s="24" t="s">
        <v>61</v>
      </c>
      <c r="C24" s="12" t="s">
        <v>31</v>
      </c>
      <c r="D24" s="12" t="s">
        <v>24</v>
      </c>
      <c r="E24" s="13" t="s">
        <v>116</v>
      </c>
      <c r="F24" s="22" t="s">
        <v>9</v>
      </c>
      <c r="G24" s="13" t="s">
        <v>0</v>
      </c>
      <c r="H24" s="12" t="s">
        <v>295</v>
      </c>
      <c r="I24" s="11">
        <v>2000</v>
      </c>
      <c r="J24" s="10">
        <v>1000</v>
      </c>
      <c r="K24" s="9">
        <v>1000</v>
      </c>
      <c r="L24" s="8">
        <f t="shared" si="0"/>
        <v>0</v>
      </c>
    </row>
    <row r="25" spans="1:12" ht="113.25" customHeight="1" thickBot="1" x14ac:dyDescent="0.3">
      <c r="A25" s="47"/>
      <c r="B25" s="24" t="s">
        <v>32</v>
      </c>
      <c r="C25" s="12" t="s">
        <v>31</v>
      </c>
      <c r="D25" s="12" t="s">
        <v>24</v>
      </c>
      <c r="E25" s="13" t="s">
        <v>78</v>
      </c>
      <c r="F25" s="22" t="s">
        <v>4</v>
      </c>
      <c r="G25" s="13" t="s">
        <v>0</v>
      </c>
      <c r="H25" s="12" t="s">
        <v>316</v>
      </c>
      <c r="I25" s="11">
        <v>2500</v>
      </c>
      <c r="J25" s="10"/>
      <c r="K25" s="9">
        <v>2500</v>
      </c>
      <c r="L25" s="8">
        <f t="shared" si="0"/>
        <v>0</v>
      </c>
    </row>
    <row r="26" spans="1:12" ht="113.25" customHeight="1" thickBot="1" x14ac:dyDescent="0.3">
      <c r="A26" s="47"/>
      <c r="B26" s="24" t="s">
        <v>40</v>
      </c>
      <c r="C26" s="12" t="s">
        <v>27</v>
      </c>
      <c r="D26" s="12" t="s">
        <v>24</v>
      </c>
      <c r="E26" s="13" t="s">
        <v>111</v>
      </c>
      <c r="F26" s="22" t="s">
        <v>4</v>
      </c>
      <c r="G26" s="13" t="s">
        <v>0</v>
      </c>
      <c r="H26" s="12" t="s">
        <v>316</v>
      </c>
      <c r="I26" s="11">
        <v>500</v>
      </c>
      <c r="J26" s="10"/>
      <c r="K26" s="9">
        <v>500</v>
      </c>
      <c r="L26" s="8">
        <f t="shared" si="0"/>
        <v>0</v>
      </c>
    </row>
    <row r="27" spans="1:12" ht="113.25" customHeight="1" thickBot="1" x14ac:dyDescent="0.3">
      <c r="A27" s="47"/>
      <c r="B27" s="24" t="s">
        <v>40</v>
      </c>
      <c r="C27" s="12" t="s">
        <v>27</v>
      </c>
      <c r="D27" s="12" t="s">
        <v>24</v>
      </c>
      <c r="E27" s="13" t="s">
        <v>197</v>
      </c>
      <c r="F27" s="22" t="s">
        <v>4</v>
      </c>
      <c r="G27" s="13" t="s">
        <v>0</v>
      </c>
      <c r="H27" s="12" t="s">
        <v>316</v>
      </c>
      <c r="I27" s="11">
        <v>2000</v>
      </c>
      <c r="J27" s="10"/>
      <c r="K27" s="9">
        <v>2000</v>
      </c>
      <c r="L27" s="8">
        <f t="shared" si="0"/>
        <v>0</v>
      </c>
    </row>
    <row r="28" spans="1:12" ht="113.25" customHeight="1" thickBot="1" x14ac:dyDescent="0.3">
      <c r="A28" s="47"/>
      <c r="B28" s="24" t="s">
        <v>40</v>
      </c>
      <c r="C28" s="12" t="s">
        <v>27</v>
      </c>
      <c r="D28" s="12" t="s">
        <v>24</v>
      </c>
      <c r="E28" s="13" t="s">
        <v>76</v>
      </c>
      <c r="F28" s="22" t="s">
        <v>4</v>
      </c>
      <c r="G28" s="13" t="s">
        <v>0</v>
      </c>
      <c r="H28" s="12" t="s">
        <v>316</v>
      </c>
      <c r="I28" s="11">
        <v>1000</v>
      </c>
      <c r="J28" s="10"/>
      <c r="K28" s="9">
        <v>1000</v>
      </c>
      <c r="L28" s="8">
        <f t="shared" si="0"/>
        <v>0</v>
      </c>
    </row>
    <row r="29" spans="1:12" ht="113.25" customHeight="1" thickBot="1" x14ac:dyDescent="0.3">
      <c r="A29" s="47"/>
      <c r="B29" s="24" t="s">
        <v>38</v>
      </c>
      <c r="C29" s="12" t="s">
        <v>15</v>
      </c>
      <c r="D29" s="12" t="s">
        <v>24</v>
      </c>
      <c r="E29" s="13" t="s">
        <v>96</v>
      </c>
      <c r="F29" s="22" t="s">
        <v>4</v>
      </c>
      <c r="G29" s="13" t="s">
        <v>0</v>
      </c>
      <c r="H29" s="12" t="s">
        <v>316</v>
      </c>
      <c r="I29" s="11">
        <v>2000</v>
      </c>
      <c r="J29" s="10">
        <v>1000</v>
      </c>
      <c r="K29" s="9">
        <v>1000</v>
      </c>
      <c r="L29" s="8">
        <f t="shared" si="0"/>
        <v>0</v>
      </c>
    </row>
    <row r="30" spans="1:12" ht="113.25" customHeight="1" thickBot="1" x14ac:dyDescent="0.3">
      <c r="A30" s="47"/>
      <c r="B30" s="24" t="s">
        <v>77</v>
      </c>
      <c r="C30" s="12" t="s">
        <v>27</v>
      </c>
      <c r="D30" s="12" t="s">
        <v>24</v>
      </c>
      <c r="E30" s="13" t="s">
        <v>39</v>
      </c>
      <c r="F30" s="22" t="s">
        <v>4</v>
      </c>
      <c r="G30" s="13" t="s">
        <v>0</v>
      </c>
      <c r="H30" s="12" t="s">
        <v>295</v>
      </c>
      <c r="I30" s="11">
        <v>1000</v>
      </c>
      <c r="J30" s="10"/>
      <c r="K30" s="9">
        <v>1000</v>
      </c>
      <c r="L30" s="8">
        <f t="shared" si="0"/>
        <v>0</v>
      </c>
    </row>
    <row r="31" spans="1:12" ht="113.25" customHeight="1" thickBot="1" x14ac:dyDescent="0.3">
      <c r="A31" s="47"/>
      <c r="B31" s="24" t="s">
        <v>77</v>
      </c>
      <c r="C31" s="12" t="s">
        <v>27</v>
      </c>
      <c r="D31" s="12" t="s">
        <v>24</v>
      </c>
      <c r="E31" s="13" t="s">
        <v>197</v>
      </c>
      <c r="F31" s="22" t="s">
        <v>4</v>
      </c>
      <c r="G31" s="13" t="s">
        <v>0</v>
      </c>
      <c r="H31" s="12" t="s">
        <v>295</v>
      </c>
      <c r="I31" s="11">
        <v>2000</v>
      </c>
      <c r="J31" s="10">
        <v>1000</v>
      </c>
      <c r="K31" s="9">
        <v>1000</v>
      </c>
      <c r="L31" s="8">
        <f t="shared" si="0"/>
        <v>0</v>
      </c>
    </row>
    <row r="32" spans="1:12" ht="113.25" customHeight="1" thickBot="1" x14ac:dyDescent="0.3">
      <c r="A32" s="53"/>
      <c r="B32" s="24" t="s">
        <v>112</v>
      </c>
      <c r="C32" s="12" t="s">
        <v>113</v>
      </c>
      <c r="D32" s="12" t="s">
        <v>24</v>
      </c>
      <c r="E32" s="13" t="s">
        <v>114</v>
      </c>
      <c r="F32" s="22" t="s">
        <v>4</v>
      </c>
      <c r="G32" s="13" t="s">
        <v>0</v>
      </c>
      <c r="H32" s="12" t="s">
        <v>295</v>
      </c>
      <c r="I32" s="11">
        <v>1951</v>
      </c>
      <c r="J32" s="10">
        <v>1000</v>
      </c>
      <c r="K32" s="9">
        <v>951</v>
      </c>
      <c r="L32" s="8">
        <f t="shared" si="0"/>
        <v>0</v>
      </c>
    </row>
    <row r="33" spans="1:12" ht="113.25" customHeight="1" thickBot="1" x14ac:dyDescent="0.3">
      <c r="A33" s="52" t="s">
        <v>23</v>
      </c>
      <c r="B33" s="24" t="s">
        <v>12</v>
      </c>
      <c r="C33" s="12" t="s">
        <v>6</v>
      </c>
      <c r="D33" s="12" t="s">
        <v>20</v>
      </c>
      <c r="E33" s="13" t="s">
        <v>22</v>
      </c>
      <c r="F33" s="22" t="s">
        <v>4</v>
      </c>
      <c r="G33" s="13" t="s">
        <v>0</v>
      </c>
      <c r="H33" s="12" t="s">
        <v>295</v>
      </c>
      <c r="I33" s="11">
        <v>1000</v>
      </c>
      <c r="J33" s="10">
        <v>1000</v>
      </c>
      <c r="K33" s="9"/>
      <c r="L33" s="8">
        <f t="shared" si="0"/>
        <v>0</v>
      </c>
    </row>
    <row r="34" spans="1:12" ht="113.25" customHeight="1" thickBot="1" x14ac:dyDescent="0.3">
      <c r="A34" s="47"/>
      <c r="B34" s="24" t="s">
        <v>12</v>
      </c>
      <c r="C34" s="12" t="s">
        <v>6</v>
      </c>
      <c r="D34" s="12" t="s">
        <v>20</v>
      </c>
      <c r="E34" s="13" t="s">
        <v>22</v>
      </c>
      <c r="F34" s="22" t="s">
        <v>4</v>
      </c>
      <c r="G34" s="13" t="s">
        <v>0</v>
      </c>
      <c r="H34" s="12" t="s">
        <v>316</v>
      </c>
      <c r="I34" s="11">
        <v>3000</v>
      </c>
      <c r="J34" s="10"/>
      <c r="K34" s="9">
        <v>3000</v>
      </c>
      <c r="L34" s="8">
        <f t="shared" si="0"/>
        <v>0</v>
      </c>
    </row>
    <row r="35" spans="1:12" ht="113.25" customHeight="1" thickBot="1" x14ac:dyDescent="0.3">
      <c r="A35" s="47"/>
      <c r="B35" s="24" t="s">
        <v>21</v>
      </c>
      <c r="C35" s="12" t="s">
        <v>118</v>
      </c>
      <c r="D35" s="12" t="s">
        <v>20</v>
      </c>
      <c r="E35" s="13" t="s">
        <v>222</v>
      </c>
      <c r="F35" s="22" t="s">
        <v>4</v>
      </c>
      <c r="G35" s="13" t="s">
        <v>0</v>
      </c>
      <c r="H35" s="12" t="s">
        <v>295</v>
      </c>
      <c r="I35" s="11">
        <v>1000</v>
      </c>
      <c r="J35" s="10">
        <v>1000</v>
      </c>
      <c r="K35" s="9"/>
      <c r="L35" s="8">
        <f t="shared" si="0"/>
        <v>0</v>
      </c>
    </row>
    <row r="36" spans="1:12" ht="113.25" customHeight="1" thickBot="1" x14ac:dyDescent="0.3">
      <c r="A36" s="47"/>
      <c r="B36" s="24" t="s">
        <v>21</v>
      </c>
      <c r="C36" s="12" t="s">
        <v>118</v>
      </c>
      <c r="D36" s="12" t="s">
        <v>20</v>
      </c>
      <c r="E36" s="13" t="s">
        <v>222</v>
      </c>
      <c r="F36" s="22" t="s">
        <v>4</v>
      </c>
      <c r="G36" s="13" t="s">
        <v>0</v>
      </c>
      <c r="H36" s="12" t="s">
        <v>316</v>
      </c>
      <c r="I36" s="11">
        <v>2000</v>
      </c>
      <c r="J36" s="10"/>
      <c r="K36" s="9">
        <v>2000</v>
      </c>
      <c r="L36" s="8">
        <f t="shared" si="0"/>
        <v>0</v>
      </c>
    </row>
    <row r="37" spans="1:12" ht="113.25" customHeight="1" thickBot="1" x14ac:dyDescent="0.3">
      <c r="A37" s="47"/>
      <c r="B37" s="24" t="s">
        <v>21</v>
      </c>
      <c r="C37" s="12" t="s">
        <v>3</v>
      </c>
      <c r="D37" s="12" t="s">
        <v>20</v>
      </c>
      <c r="E37" s="13" t="s">
        <v>56</v>
      </c>
      <c r="F37" s="22" t="s">
        <v>9</v>
      </c>
      <c r="G37" s="13" t="s">
        <v>0</v>
      </c>
      <c r="H37" s="12" t="s">
        <v>295</v>
      </c>
      <c r="I37" s="11">
        <v>2000</v>
      </c>
      <c r="J37" s="10">
        <v>1000</v>
      </c>
      <c r="K37" s="9">
        <v>1000</v>
      </c>
      <c r="L37" s="8">
        <f t="shared" si="0"/>
        <v>0</v>
      </c>
    </row>
    <row r="38" spans="1:12" ht="113.25" customHeight="1" thickBot="1" x14ac:dyDescent="0.3">
      <c r="A38" s="47"/>
      <c r="B38" s="24" t="s">
        <v>21</v>
      </c>
      <c r="C38" s="12" t="s">
        <v>3</v>
      </c>
      <c r="D38" s="12" t="s">
        <v>20</v>
      </c>
      <c r="E38" s="13" t="s">
        <v>56</v>
      </c>
      <c r="F38" s="22" t="s">
        <v>9</v>
      </c>
      <c r="G38" s="13" t="s">
        <v>0</v>
      </c>
      <c r="H38" s="12" t="s">
        <v>316</v>
      </c>
      <c r="I38" s="11">
        <v>10000</v>
      </c>
      <c r="J38" s="10"/>
      <c r="K38" s="9">
        <v>10000</v>
      </c>
      <c r="L38" s="8">
        <f t="shared" si="0"/>
        <v>0</v>
      </c>
    </row>
    <row r="39" spans="1:12" ht="113.25" customHeight="1" thickBot="1" x14ac:dyDescent="0.3">
      <c r="A39" s="51" t="s">
        <v>337</v>
      </c>
      <c r="B39" s="38" t="s">
        <v>223</v>
      </c>
      <c r="C39" s="12" t="s">
        <v>224</v>
      </c>
      <c r="D39" s="12" t="s">
        <v>60</v>
      </c>
      <c r="E39" s="13" t="s">
        <v>225</v>
      </c>
      <c r="F39" s="22" t="s">
        <v>9</v>
      </c>
      <c r="G39" s="13" t="s">
        <v>8</v>
      </c>
      <c r="H39" s="12" t="s">
        <v>316</v>
      </c>
      <c r="I39" s="11">
        <v>1000</v>
      </c>
      <c r="J39" s="10">
        <v>500</v>
      </c>
      <c r="K39" s="9">
        <v>500</v>
      </c>
      <c r="L39" s="8">
        <f t="shared" si="0"/>
        <v>0</v>
      </c>
    </row>
    <row r="40" spans="1:12" ht="113.25" customHeight="1" thickBot="1" x14ac:dyDescent="0.3">
      <c r="A40" s="51"/>
      <c r="B40" s="38" t="s">
        <v>223</v>
      </c>
      <c r="C40" s="12" t="s">
        <v>327</v>
      </c>
      <c r="D40" s="12" t="s">
        <v>60</v>
      </c>
      <c r="E40" s="13" t="s">
        <v>328</v>
      </c>
      <c r="F40" s="22" t="s">
        <v>4</v>
      </c>
      <c r="G40" s="13" t="s">
        <v>37</v>
      </c>
      <c r="H40" s="12" t="s">
        <v>295</v>
      </c>
      <c r="I40" s="11">
        <v>4</v>
      </c>
      <c r="J40" s="10"/>
      <c r="K40" s="9">
        <v>4</v>
      </c>
      <c r="L40" s="8">
        <f t="shared" si="0"/>
        <v>0</v>
      </c>
    </row>
    <row r="41" spans="1:12" ht="113.25" customHeight="1" thickBot="1" x14ac:dyDescent="0.3">
      <c r="A41" s="51"/>
      <c r="B41" s="38" t="s">
        <v>223</v>
      </c>
      <c r="C41" s="12" t="s">
        <v>327</v>
      </c>
      <c r="D41" s="12" t="s">
        <v>60</v>
      </c>
      <c r="E41" s="13" t="s">
        <v>329</v>
      </c>
      <c r="F41" s="22" t="s">
        <v>4</v>
      </c>
      <c r="G41" s="13" t="s">
        <v>37</v>
      </c>
      <c r="H41" s="12" t="s">
        <v>295</v>
      </c>
      <c r="I41" s="11">
        <v>9</v>
      </c>
      <c r="J41" s="10"/>
      <c r="K41" s="9">
        <v>9</v>
      </c>
      <c r="L41" s="8">
        <f t="shared" si="0"/>
        <v>0</v>
      </c>
    </row>
    <row r="42" spans="1:12" ht="113.25" customHeight="1" thickBot="1" x14ac:dyDescent="0.3">
      <c r="A42" s="51"/>
      <c r="B42" s="38" t="s">
        <v>223</v>
      </c>
      <c r="C42" s="12" t="s">
        <v>327</v>
      </c>
      <c r="D42" s="12" t="s">
        <v>60</v>
      </c>
      <c r="E42" s="13" t="s">
        <v>330</v>
      </c>
      <c r="F42" s="22" t="s">
        <v>4</v>
      </c>
      <c r="G42" s="13" t="s">
        <v>37</v>
      </c>
      <c r="H42" s="12" t="s">
        <v>295</v>
      </c>
      <c r="I42" s="11">
        <v>26</v>
      </c>
      <c r="J42" s="10"/>
      <c r="K42" s="9">
        <v>26</v>
      </c>
      <c r="L42" s="8">
        <f t="shared" si="0"/>
        <v>0</v>
      </c>
    </row>
    <row r="43" spans="1:12" ht="113.25" customHeight="1" thickBot="1" x14ac:dyDescent="0.3">
      <c r="A43" s="51"/>
      <c r="B43" s="38" t="s">
        <v>223</v>
      </c>
      <c r="C43" s="12" t="s">
        <v>327</v>
      </c>
      <c r="D43" s="12" t="s">
        <v>60</v>
      </c>
      <c r="E43" s="13" t="s">
        <v>331</v>
      </c>
      <c r="F43" s="22" t="s">
        <v>4</v>
      </c>
      <c r="G43" s="13" t="s">
        <v>37</v>
      </c>
      <c r="H43" s="12" t="s">
        <v>295</v>
      </c>
      <c r="I43" s="11">
        <v>24</v>
      </c>
      <c r="J43" s="10"/>
      <c r="K43" s="9">
        <v>24</v>
      </c>
      <c r="L43" s="8">
        <f t="shared" si="0"/>
        <v>0</v>
      </c>
    </row>
    <row r="44" spans="1:12" ht="113.25" customHeight="1" thickBot="1" x14ac:dyDescent="0.3">
      <c r="A44" s="51"/>
      <c r="B44" s="38" t="s">
        <v>223</v>
      </c>
      <c r="C44" s="12" t="s">
        <v>327</v>
      </c>
      <c r="D44" s="12" t="s">
        <v>60</v>
      </c>
      <c r="E44" s="13" t="s">
        <v>332</v>
      </c>
      <c r="F44" s="22" t="s">
        <v>4</v>
      </c>
      <c r="G44" s="13" t="s">
        <v>37</v>
      </c>
      <c r="H44" s="12" t="s">
        <v>295</v>
      </c>
      <c r="I44" s="11">
        <v>44</v>
      </c>
      <c r="J44" s="10"/>
      <c r="K44" s="9">
        <v>44</v>
      </c>
      <c r="L44" s="8">
        <f t="shared" si="0"/>
        <v>0</v>
      </c>
    </row>
    <row r="45" spans="1:12" ht="113.25" customHeight="1" thickBot="1" x14ac:dyDescent="0.3">
      <c r="A45" s="51"/>
      <c r="B45" s="38" t="s">
        <v>223</v>
      </c>
      <c r="C45" s="12" t="s">
        <v>327</v>
      </c>
      <c r="D45" s="12" t="s">
        <v>60</v>
      </c>
      <c r="E45" s="13" t="s">
        <v>333</v>
      </c>
      <c r="F45" s="22" t="s">
        <v>4</v>
      </c>
      <c r="G45" s="13" t="s">
        <v>37</v>
      </c>
      <c r="H45" s="12" t="s">
        <v>295</v>
      </c>
      <c r="I45" s="11">
        <v>26</v>
      </c>
      <c r="J45" s="10"/>
      <c r="K45" s="9">
        <v>26</v>
      </c>
      <c r="L45" s="8">
        <f t="shared" si="0"/>
        <v>0</v>
      </c>
    </row>
    <row r="46" spans="1:12" ht="113.25" customHeight="1" thickBot="1" x14ac:dyDescent="0.3">
      <c r="A46" s="51"/>
      <c r="B46" s="38" t="s">
        <v>223</v>
      </c>
      <c r="C46" s="12" t="s">
        <v>327</v>
      </c>
      <c r="D46" s="12" t="s">
        <v>60</v>
      </c>
      <c r="E46" s="13" t="s">
        <v>334</v>
      </c>
      <c r="F46" s="22" t="s">
        <v>4</v>
      </c>
      <c r="G46" s="13" t="s">
        <v>37</v>
      </c>
      <c r="H46" s="12" t="s">
        <v>295</v>
      </c>
      <c r="I46" s="11">
        <v>30</v>
      </c>
      <c r="J46" s="10"/>
      <c r="K46" s="9">
        <v>30</v>
      </c>
      <c r="L46" s="8">
        <f t="shared" si="0"/>
        <v>0</v>
      </c>
    </row>
    <row r="47" spans="1:12" ht="113.25" customHeight="1" thickBot="1" x14ac:dyDescent="0.3">
      <c r="A47" s="51"/>
      <c r="B47" s="38" t="s">
        <v>223</v>
      </c>
      <c r="C47" s="12" t="s">
        <v>327</v>
      </c>
      <c r="D47" s="12" t="s">
        <v>60</v>
      </c>
      <c r="E47" s="13" t="s">
        <v>335</v>
      </c>
      <c r="F47" s="22" t="s">
        <v>4</v>
      </c>
      <c r="G47" s="13" t="s">
        <v>37</v>
      </c>
      <c r="H47" s="12" t="s">
        <v>295</v>
      </c>
      <c r="I47" s="11">
        <v>16</v>
      </c>
      <c r="J47" s="10"/>
      <c r="K47" s="9">
        <v>16</v>
      </c>
      <c r="L47" s="8">
        <f t="shared" si="0"/>
        <v>0</v>
      </c>
    </row>
    <row r="48" spans="1:12" ht="113.25" customHeight="1" thickBot="1" x14ac:dyDescent="0.3">
      <c r="A48" s="51"/>
      <c r="B48" s="38" t="s">
        <v>223</v>
      </c>
      <c r="C48" s="12" t="s">
        <v>327</v>
      </c>
      <c r="D48" s="12" t="s">
        <v>60</v>
      </c>
      <c r="E48" s="13" t="s">
        <v>336</v>
      </c>
      <c r="F48" s="22" t="s">
        <v>4</v>
      </c>
      <c r="G48" s="13" t="s">
        <v>37</v>
      </c>
      <c r="H48" s="12" t="s">
        <v>295</v>
      </c>
      <c r="I48" s="11">
        <v>10</v>
      </c>
      <c r="J48" s="10"/>
      <c r="K48" s="9">
        <v>10</v>
      </c>
      <c r="L48" s="8">
        <f t="shared" si="0"/>
        <v>0</v>
      </c>
    </row>
    <row r="49" spans="1:12" ht="113.25" customHeight="1" thickBot="1" x14ac:dyDescent="0.3">
      <c r="A49" s="52" t="s">
        <v>19</v>
      </c>
      <c r="B49" s="24" t="s">
        <v>7</v>
      </c>
      <c r="C49" s="12" t="s">
        <v>17</v>
      </c>
      <c r="D49" s="12" t="s">
        <v>120</v>
      </c>
      <c r="E49" s="13" t="s">
        <v>121</v>
      </c>
      <c r="F49" s="22" t="s">
        <v>122</v>
      </c>
      <c r="G49" s="13" t="s">
        <v>0</v>
      </c>
      <c r="H49" s="12" t="s">
        <v>316</v>
      </c>
      <c r="I49" s="11">
        <v>4000</v>
      </c>
      <c r="J49" s="10">
        <v>2000</v>
      </c>
      <c r="K49" s="9">
        <v>2000</v>
      </c>
      <c r="L49" s="8">
        <f t="shared" si="0"/>
        <v>0</v>
      </c>
    </row>
    <row r="50" spans="1:12" ht="113.25" customHeight="1" thickBot="1" x14ac:dyDescent="0.3">
      <c r="A50" s="47"/>
      <c r="B50" s="24" t="s">
        <v>7</v>
      </c>
      <c r="C50" s="12" t="s">
        <v>15</v>
      </c>
      <c r="D50" s="12" t="s">
        <v>14</v>
      </c>
      <c r="E50" s="13" t="s">
        <v>13</v>
      </c>
      <c r="F50" s="22" t="s">
        <v>4</v>
      </c>
      <c r="G50" s="13" t="s">
        <v>0</v>
      </c>
      <c r="H50" s="12" t="s">
        <v>295</v>
      </c>
      <c r="I50" s="11">
        <v>3300</v>
      </c>
      <c r="J50" s="10">
        <v>1000</v>
      </c>
      <c r="K50" s="9">
        <v>2300</v>
      </c>
      <c r="L50" s="8">
        <f t="shared" si="0"/>
        <v>0</v>
      </c>
    </row>
    <row r="51" spans="1:12" ht="113.25" customHeight="1" thickBot="1" x14ac:dyDescent="0.3">
      <c r="A51" s="47"/>
      <c r="B51" s="24" t="s">
        <v>7</v>
      </c>
      <c r="C51" s="12" t="s">
        <v>15</v>
      </c>
      <c r="D51" s="12" t="s">
        <v>14</v>
      </c>
      <c r="E51" s="13" t="s">
        <v>65</v>
      </c>
      <c r="F51" s="22" t="s">
        <v>4</v>
      </c>
      <c r="G51" s="13" t="s">
        <v>0</v>
      </c>
      <c r="H51" s="12" t="s">
        <v>316</v>
      </c>
      <c r="I51" s="11">
        <v>400</v>
      </c>
      <c r="J51" s="10"/>
      <c r="K51" s="9">
        <v>400</v>
      </c>
      <c r="L51" s="8">
        <f t="shared" ref="L51:L58" si="1">K51+J51-I51</f>
        <v>0</v>
      </c>
    </row>
    <row r="52" spans="1:12" ht="113.25" customHeight="1" thickBot="1" x14ac:dyDescent="0.3">
      <c r="A52" s="47"/>
      <c r="B52" s="24" t="s">
        <v>7</v>
      </c>
      <c r="C52" s="12" t="s">
        <v>15</v>
      </c>
      <c r="D52" s="12" t="s">
        <v>14</v>
      </c>
      <c r="E52" s="13" t="s">
        <v>58</v>
      </c>
      <c r="F52" s="22" t="s">
        <v>4</v>
      </c>
      <c r="G52" s="13" t="s">
        <v>0</v>
      </c>
      <c r="H52" s="12" t="s">
        <v>316</v>
      </c>
      <c r="I52" s="11">
        <v>2000</v>
      </c>
      <c r="J52" s="10">
        <v>500</v>
      </c>
      <c r="K52" s="9">
        <v>1500</v>
      </c>
      <c r="L52" s="8">
        <f t="shared" si="1"/>
        <v>0</v>
      </c>
    </row>
    <row r="53" spans="1:12" ht="113.25" customHeight="1" thickBot="1" x14ac:dyDescent="0.3">
      <c r="A53" s="47"/>
      <c r="B53" s="24" t="s">
        <v>12</v>
      </c>
      <c r="C53" s="12" t="s">
        <v>118</v>
      </c>
      <c r="D53" s="12" t="s">
        <v>123</v>
      </c>
      <c r="E53" s="13" t="s">
        <v>124</v>
      </c>
      <c r="F53" s="22" t="s">
        <v>9</v>
      </c>
      <c r="G53" s="13" t="s">
        <v>0</v>
      </c>
      <c r="H53" s="12" t="s">
        <v>316</v>
      </c>
      <c r="I53" s="11">
        <v>2715</v>
      </c>
      <c r="J53" s="10">
        <v>1000</v>
      </c>
      <c r="K53" s="9">
        <v>1715</v>
      </c>
      <c r="L53" s="8">
        <f t="shared" si="1"/>
        <v>0</v>
      </c>
    </row>
    <row r="54" spans="1:12" ht="113.25" customHeight="1" thickBot="1" x14ac:dyDescent="0.3">
      <c r="A54" s="47"/>
      <c r="B54" s="24" t="s">
        <v>12</v>
      </c>
      <c r="C54" s="12" t="s">
        <v>3</v>
      </c>
      <c r="D54" s="12" t="s">
        <v>11</v>
      </c>
      <c r="E54" s="13" t="s">
        <v>10</v>
      </c>
      <c r="F54" s="22" t="s">
        <v>9</v>
      </c>
      <c r="G54" s="13" t="s">
        <v>0</v>
      </c>
      <c r="H54" s="12" t="s">
        <v>295</v>
      </c>
      <c r="I54" s="11">
        <v>12500</v>
      </c>
      <c r="J54" s="10">
        <v>2000</v>
      </c>
      <c r="K54" s="9">
        <f>5000+5500</f>
        <v>10500</v>
      </c>
      <c r="L54" s="8">
        <f t="shared" si="1"/>
        <v>0</v>
      </c>
    </row>
    <row r="55" spans="1:12" ht="113.25" customHeight="1" thickBot="1" x14ac:dyDescent="0.3">
      <c r="A55" s="47"/>
      <c r="B55" s="24" t="s">
        <v>7</v>
      </c>
      <c r="C55" s="12" t="s">
        <v>6</v>
      </c>
      <c r="D55" s="12" t="s">
        <v>1</v>
      </c>
      <c r="E55" s="13" t="s">
        <v>5</v>
      </c>
      <c r="F55" s="22" t="s">
        <v>9</v>
      </c>
      <c r="G55" s="13" t="s">
        <v>0</v>
      </c>
      <c r="H55" s="12" t="s">
        <v>316</v>
      </c>
      <c r="I55" s="11">
        <v>3460</v>
      </c>
      <c r="J55" s="10">
        <v>2000</v>
      </c>
      <c r="K55" s="9">
        <v>1460</v>
      </c>
      <c r="L55" s="8">
        <f t="shared" si="1"/>
        <v>0</v>
      </c>
    </row>
    <row r="56" spans="1:12" ht="113.25" customHeight="1" thickBot="1" x14ac:dyDescent="0.3">
      <c r="A56" s="47"/>
      <c r="B56" s="24" t="s">
        <v>7</v>
      </c>
      <c r="C56" s="12" t="s">
        <v>6</v>
      </c>
      <c r="D56" s="12" t="s">
        <v>1</v>
      </c>
      <c r="E56" s="13" t="s">
        <v>5</v>
      </c>
      <c r="F56" s="22" t="s">
        <v>4</v>
      </c>
      <c r="G56" s="13" t="s">
        <v>0</v>
      </c>
      <c r="H56" s="12" t="s">
        <v>316</v>
      </c>
      <c r="I56" s="11">
        <v>3000</v>
      </c>
      <c r="J56" s="10"/>
      <c r="K56" s="9">
        <v>3000</v>
      </c>
      <c r="L56" s="8">
        <f t="shared" si="1"/>
        <v>0</v>
      </c>
    </row>
    <row r="57" spans="1:12" ht="113.25" customHeight="1" thickBot="1" x14ac:dyDescent="0.3">
      <c r="A57" s="47"/>
      <c r="B57" s="24" t="s">
        <v>194</v>
      </c>
      <c r="C57" s="12" t="s">
        <v>3</v>
      </c>
      <c r="D57" s="12" t="s">
        <v>1</v>
      </c>
      <c r="E57" s="13" t="s">
        <v>195</v>
      </c>
      <c r="F57" s="22" t="s">
        <v>122</v>
      </c>
      <c r="G57" s="13" t="s">
        <v>0</v>
      </c>
      <c r="H57" s="12" t="s">
        <v>316</v>
      </c>
      <c r="I57" s="11">
        <v>5000</v>
      </c>
      <c r="J57" s="10">
        <v>2000</v>
      </c>
      <c r="K57" s="9">
        <v>3000</v>
      </c>
      <c r="L57" s="8">
        <f t="shared" si="1"/>
        <v>0</v>
      </c>
    </row>
    <row r="58" spans="1:12" ht="113.25" customHeight="1" thickBot="1" x14ac:dyDescent="0.3">
      <c r="A58" s="47"/>
      <c r="B58" s="24" t="s">
        <v>194</v>
      </c>
      <c r="C58" s="12" t="s">
        <v>118</v>
      </c>
      <c r="D58" s="12" t="s">
        <v>1</v>
      </c>
      <c r="E58" s="13" t="s">
        <v>216</v>
      </c>
      <c r="F58" s="22" t="s">
        <v>122</v>
      </c>
      <c r="G58" s="13" t="s">
        <v>0</v>
      </c>
      <c r="H58" s="12" t="s">
        <v>295</v>
      </c>
      <c r="I58" s="11">
        <v>4000</v>
      </c>
      <c r="J58" s="10"/>
      <c r="K58" s="9">
        <v>4000</v>
      </c>
      <c r="L58" s="8">
        <f t="shared" si="1"/>
        <v>0</v>
      </c>
    </row>
  </sheetData>
  <autoFilter ref="A2:L58"/>
  <dataConsolidate/>
  <mergeCells count="6">
    <mergeCell ref="A39:A48"/>
    <mergeCell ref="A49:A58"/>
    <mergeCell ref="A21:A32"/>
    <mergeCell ref="A33:A38"/>
    <mergeCell ref="A1:L1"/>
    <mergeCell ref="A3:A20"/>
  </mergeCells>
  <conditionalFormatting sqref="K3:L21 I2:I21 K23:L32 I23:I32">
    <cfRule type="cellIs" dxfId="95" priority="22" operator="lessThan">
      <formula>0</formula>
    </cfRule>
  </conditionalFormatting>
  <conditionalFormatting sqref="L2">
    <cfRule type="cellIs" dxfId="94" priority="21" operator="lessThan">
      <formula>0</formula>
    </cfRule>
  </conditionalFormatting>
  <conditionalFormatting sqref="I22 K22:L22">
    <cfRule type="cellIs" dxfId="93" priority="20" operator="lessThan">
      <formula>0</formula>
    </cfRule>
  </conditionalFormatting>
  <conditionalFormatting sqref="L33:L37">
    <cfRule type="cellIs" dxfId="92" priority="16" operator="lessThan">
      <formula>0</formula>
    </cfRule>
  </conditionalFormatting>
  <conditionalFormatting sqref="K33:K37 I33:I37">
    <cfRule type="cellIs" dxfId="91" priority="15" operator="lessThan">
      <formula>0</formula>
    </cfRule>
  </conditionalFormatting>
  <conditionalFormatting sqref="L58">
    <cfRule type="cellIs" dxfId="90" priority="14" operator="lessThan">
      <formula>0</formula>
    </cfRule>
  </conditionalFormatting>
  <conditionalFormatting sqref="K58 I58">
    <cfRule type="cellIs" dxfId="89" priority="13" operator="lessThan">
      <formula>0</formula>
    </cfRule>
  </conditionalFormatting>
  <conditionalFormatting sqref="L52:L57">
    <cfRule type="cellIs" dxfId="88" priority="12" operator="lessThan">
      <formula>0</formula>
    </cfRule>
  </conditionalFormatting>
  <conditionalFormatting sqref="K52:K57 I52:I57">
    <cfRule type="cellIs" dxfId="87" priority="11" operator="lessThan">
      <formula>0</formula>
    </cfRule>
  </conditionalFormatting>
  <conditionalFormatting sqref="L51">
    <cfRule type="cellIs" dxfId="86" priority="10" operator="lessThan">
      <formula>0</formula>
    </cfRule>
  </conditionalFormatting>
  <conditionalFormatting sqref="I51 K51">
    <cfRule type="cellIs" dxfId="85" priority="9" operator="lessThan">
      <formula>0</formula>
    </cfRule>
  </conditionalFormatting>
  <conditionalFormatting sqref="L45:L50">
    <cfRule type="cellIs" dxfId="84" priority="8" operator="lessThan">
      <formula>0</formula>
    </cfRule>
  </conditionalFormatting>
  <conditionalFormatting sqref="K45:K50 I45:I50">
    <cfRule type="cellIs" dxfId="83" priority="7" operator="lessThan">
      <formula>0</formula>
    </cfRule>
  </conditionalFormatting>
  <conditionalFormatting sqref="L39:L44">
    <cfRule type="cellIs" dxfId="82" priority="6" operator="lessThan">
      <formula>0</formula>
    </cfRule>
  </conditionalFormatting>
  <conditionalFormatting sqref="K39:K44 I39:I44">
    <cfRule type="cellIs" dxfId="81" priority="5" operator="lessThan">
      <formula>0</formula>
    </cfRule>
  </conditionalFormatting>
  <conditionalFormatting sqref="L38">
    <cfRule type="cellIs" dxfId="80" priority="4" operator="lessThan">
      <formula>0</formula>
    </cfRule>
  </conditionalFormatting>
  <conditionalFormatting sqref="I38 K38">
    <cfRule type="cellIs" dxfId="79" priority="3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23"/>
  <sheetViews>
    <sheetView showGridLines="0" view="pageBreakPreview" topLeftCell="A12" zoomScale="20" zoomScaleNormal="15" zoomScaleSheetLayoutView="20" workbookViewId="0">
      <selection activeCell="K15" sqref="K15:K23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108.7109375" style="5" bestFit="1" customWidth="1"/>
    <col min="6" max="6" width="84.42578125" style="6" bestFit="1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338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118</v>
      </c>
      <c r="D3" s="12" t="s">
        <v>126</v>
      </c>
      <c r="E3" s="13" t="s">
        <v>169</v>
      </c>
      <c r="F3" s="22" t="s">
        <v>122</v>
      </c>
      <c r="G3" s="13" t="s">
        <v>0</v>
      </c>
      <c r="H3" s="12" t="s">
        <v>316</v>
      </c>
      <c r="I3" s="11">
        <v>2000</v>
      </c>
      <c r="J3" s="10"/>
      <c r="K3" s="9">
        <v>2000</v>
      </c>
      <c r="L3" s="8">
        <f t="shared" ref="L3:L23" si="0">K3+J3-I3</f>
        <v>0</v>
      </c>
    </row>
    <row r="4" spans="1:12" ht="162" customHeight="1" thickBot="1" x14ac:dyDescent="0.3">
      <c r="A4" s="47"/>
      <c r="B4" s="13" t="s">
        <v>136</v>
      </c>
      <c r="C4" s="12" t="s">
        <v>3</v>
      </c>
      <c r="D4" s="12" t="s">
        <v>126</v>
      </c>
      <c r="E4" s="13" t="s">
        <v>153</v>
      </c>
      <c r="F4" s="22" t="s">
        <v>122</v>
      </c>
      <c r="G4" s="13" t="s">
        <v>0</v>
      </c>
      <c r="H4" s="12" t="s">
        <v>316</v>
      </c>
      <c r="I4" s="11">
        <v>3000</v>
      </c>
      <c r="J4" s="10"/>
      <c r="K4" s="9">
        <v>3000</v>
      </c>
      <c r="L4" s="8">
        <f t="shared" si="0"/>
        <v>0</v>
      </c>
    </row>
    <row r="5" spans="1:12" ht="162" customHeight="1" thickBot="1" x14ac:dyDescent="0.3">
      <c r="A5" s="47"/>
      <c r="B5" s="13" t="s">
        <v>77</v>
      </c>
      <c r="C5" s="12" t="s">
        <v>27</v>
      </c>
      <c r="D5" s="12" t="s">
        <v>24</v>
      </c>
      <c r="E5" s="13" t="s">
        <v>55</v>
      </c>
      <c r="F5" s="22" t="s">
        <v>9</v>
      </c>
      <c r="G5" s="13" t="s">
        <v>0</v>
      </c>
      <c r="H5" s="12" t="s">
        <v>316</v>
      </c>
      <c r="I5" s="11">
        <v>2000</v>
      </c>
      <c r="J5" s="10"/>
      <c r="K5" s="9">
        <v>2000</v>
      </c>
      <c r="L5" s="8">
        <f t="shared" si="0"/>
        <v>0</v>
      </c>
    </row>
    <row r="6" spans="1:12" ht="162" customHeight="1" thickBot="1" x14ac:dyDescent="0.3">
      <c r="A6" s="47"/>
      <c r="B6" s="13" t="s">
        <v>112</v>
      </c>
      <c r="C6" s="12" t="s">
        <v>113</v>
      </c>
      <c r="D6" s="12" t="s">
        <v>24</v>
      </c>
      <c r="E6" s="13" t="s">
        <v>114</v>
      </c>
      <c r="F6" s="22" t="s">
        <v>4</v>
      </c>
      <c r="G6" s="13" t="s">
        <v>0</v>
      </c>
      <c r="H6" s="12" t="s">
        <v>316</v>
      </c>
      <c r="I6" s="11">
        <v>500</v>
      </c>
      <c r="J6" s="10"/>
      <c r="K6" s="9">
        <v>500</v>
      </c>
      <c r="L6" s="8">
        <f t="shared" si="0"/>
        <v>0</v>
      </c>
    </row>
    <row r="7" spans="1:12" ht="162" customHeight="1" thickBot="1" x14ac:dyDescent="0.3">
      <c r="A7" s="48"/>
      <c r="B7" s="13" t="s">
        <v>32</v>
      </c>
      <c r="C7" s="12" t="s">
        <v>31</v>
      </c>
      <c r="D7" s="12" t="s">
        <v>24</v>
      </c>
      <c r="E7" s="13" t="s">
        <v>78</v>
      </c>
      <c r="F7" s="22" t="s">
        <v>4</v>
      </c>
      <c r="G7" s="13" t="s">
        <v>0</v>
      </c>
      <c r="H7" s="12" t="s">
        <v>316</v>
      </c>
      <c r="I7" s="11">
        <v>2580</v>
      </c>
      <c r="J7" s="10"/>
      <c r="K7" s="9">
        <f>1000+1580</f>
        <v>2580</v>
      </c>
      <c r="L7" s="8">
        <f t="shared" si="0"/>
        <v>0</v>
      </c>
    </row>
    <row r="8" spans="1:12" ht="162" customHeight="1" thickBot="1" x14ac:dyDescent="0.3">
      <c r="A8" s="46" t="s">
        <v>36</v>
      </c>
      <c r="B8" s="24" t="s">
        <v>35</v>
      </c>
      <c r="C8" s="12" t="s">
        <v>155</v>
      </c>
      <c r="D8" s="12" t="s">
        <v>24</v>
      </c>
      <c r="E8" s="13" t="s">
        <v>156</v>
      </c>
      <c r="F8" s="22" t="s">
        <v>4</v>
      </c>
      <c r="G8" s="13" t="s">
        <v>0</v>
      </c>
      <c r="H8" s="12" t="s">
        <v>316</v>
      </c>
      <c r="I8" s="11">
        <v>2230</v>
      </c>
      <c r="J8" s="10"/>
      <c r="K8" s="9">
        <v>2230</v>
      </c>
      <c r="L8" s="8">
        <f t="shared" si="0"/>
        <v>0</v>
      </c>
    </row>
    <row r="9" spans="1:12" ht="162" customHeight="1" thickBot="1" x14ac:dyDescent="0.3">
      <c r="A9" s="47"/>
      <c r="B9" s="24" t="s">
        <v>61</v>
      </c>
      <c r="C9" s="12" t="s">
        <v>31</v>
      </c>
      <c r="D9" s="12" t="s">
        <v>24</v>
      </c>
      <c r="E9" s="13" t="s">
        <v>116</v>
      </c>
      <c r="F9" s="22" t="s">
        <v>9</v>
      </c>
      <c r="G9" s="13" t="s">
        <v>0</v>
      </c>
      <c r="H9" s="12" t="s">
        <v>316</v>
      </c>
      <c r="I9" s="11">
        <v>2000</v>
      </c>
      <c r="J9" s="10"/>
      <c r="K9" s="9">
        <v>2000</v>
      </c>
      <c r="L9" s="8">
        <f t="shared" si="0"/>
        <v>0</v>
      </c>
    </row>
    <row r="10" spans="1:12" ht="162" customHeight="1" thickBot="1" x14ac:dyDescent="0.3">
      <c r="A10" s="47"/>
      <c r="B10" s="24" t="s">
        <v>40</v>
      </c>
      <c r="C10" s="12" t="s">
        <v>27</v>
      </c>
      <c r="D10" s="12" t="s">
        <v>24</v>
      </c>
      <c r="E10" s="37" t="s">
        <v>39</v>
      </c>
      <c r="F10" s="22" t="s">
        <v>4</v>
      </c>
      <c r="G10" s="13" t="s">
        <v>0</v>
      </c>
      <c r="H10" s="12" t="s">
        <v>316</v>
      </c>
      <c r="I10" s="11">
        <v>1727</v>
      </c>
      <c r="J10" s="10"/>
      <c r="K10" s="9">
        <v>1727</v>
      </c>
      <c r="L10" s="8">
        <f t="shared" si="0"/>
        <v>0</v>
      </c>
    </row>
    <row r="11" spans="1:12" ht="162" customHeight="1" thickBot="1" x14ac:dyDescent="0.3">
      <c r="A11" s="47"/>
      <c r="B11" s="24" t="s">
        <v>40</v>
      </c>
      <c r="C11" s="12" t="s">
        <v>27</v>
      </c>
      <c r="D11" s="22" t="s">
        <v>24</v>
      </c>
      <c r="E11" s="13" t="s">
        <v>197</v>
      </c>
      <c r="F11" s="22" t="s">
        <v>4</v>
      </c>
      <c r="G11" s="13" t="s">
        <v>0</v>
      </c>
      <c r="H11" s="12" t="s">
        <v>316</v>
      </c>
      <c r="I11" s="11">
        <v>1450</v>
      </c>
      <c r="J11" s="10"/>
      <c r="K11" s="9">
        <v>1450</v>
      </c>
      <c r="L11" s="8">
        <f t="shared" si="0"/>
        <v>0</v>
      </c>
    </row>
    <row r="12" spans="1:12" ht="162" customHeight="1" thickBot="1" x14ac:dyDescent="0.3">
      <c r="A12" s="47"/>
      <c r="B12" s="24" t="s">
        <v>38</v>
      </c>
      <c r="C12" s="12" t="s">
        <v>15</v>
      </c>
      <c r="D12" s="22" t="s">
        <v>24</v>
      </c>
      <c r="E12" s="13" t="s">
        <v>96</v>
      </c>
      <c r="F12" s="22" t="s">
        <v>4</v>
      </c>
      <c r="G12" s="13" t="s">
        <v>0</v>
      </c>
      <c r="H12" s="12" t="s">
        <v>316</v>
      </c>
      <c r="I12" s="11">
        <v>1072</v>
      </c>
      <c r="J12" s="10"/>
      <c r="K12" s="9">
        <v>1072</v>
      </c>
      <c r="L12" s="8">
        <f t="shared" si="0"/>
        <v>0</v>
      </c>
    </row>
    <row r="13" spans="1:12" ht="162" customHeight="1" thickBot="1" x14ac:dyDescent="0.3">
      <c r="A13" s="47"/>
      <c r="B13" s="24" t="s">
        <v>112</v>
      </c>
      <c r="C13" s="12" t="s">
        <v>113</v>
      </c>
      <c r="D13" s="12" t="s">
        <v>24</v>
      </c>
      <c r="E13" s="13" t="s">
        <v>114</v>
      </c>
      <c r="F13" s="22" t="s">
        <v>4</v>
      </c>
      <c r="G13" s="13" t="s">
        <v>0</v>
      </c>
      <c r="H13" s="12" t="s">
        <v>316</v>
      </c>
      <c r="I13" s="11">
        <v>1280</v>
      </c>
      <c r="J13" s="10"/>
      <c r="K13" s="9">
        <v>1280</v>
      </c>
      <c r="L13" s="8">
        <f t="shared" si="0"/>
        <v>0</v>
      </c>
    </row>
    <row r="14" spans="1:12" ht="162" customHeight="1" thickBot="1" x14ac:dyDescent="0.3">
      <c r="A14" s="48"/>
      <c r="B14" s="24" t="s">
        <v>112</v>
      </c>
      <c r="C14" s="12" t="s">
        <v>113</v>
      </c>
      <c r="D14" s="12" t="s">
        <v>24</v>
      </c>
      <c r="E14" s="13" t="s">
        <v>273</v>
      </c>
      <c r="F14" s="22" t="s">
        <v>4</v>
      </c>
      <c r="G14" s="13" t="s">
        <v>0</v>
      </c>
      <c r="H14" s="12" t="s">
        <v>316</v>
      </c>
      <c r="I14" s="11">
        <v>400</v>
      </c>
      <c r="J14" s="10"/>
      <c r="K14" s="9">
        <v>400</v>
      </c>
      <c r="L14" s="8">
        <f t="shared" si="0"/>
        <v>0</v>
      </c>
    </row>
    <row r="15" spans="1:12" ht="165.75" customHeight="1" thickBot="1" x14ac:dyDescent="0.3">
      <c r="A15" s="39" t="s">
        <v>291</v>
      </c>
      <c r="B15" s="24" t="s">
        <v>21</v>
      </c>
      <c r="C15" s="12" t="s">
        <v>3</v>
      </c>
      <c r="D15" s="12" t="s">
        <v>20</v>
      </c>
      <c r="E15" s="13" t="s">
        <v>56</v>
      </c>
      <c r="F15" s="22" t="s">
        <v>9</v>
      </c>
      <c r="G15" s="13" t="s">
        <v>0</v>
      </c>
      <c r="H15" s="12" t="s">
        <v>316</v>
      </c>
      <c r="I15" s="11">
        <v>5000</v>
      </c>
      <c r="J15" s="10"/>
      <c r="K15" s="9">
        <v>5000</v>
      </c>
      <c r="L15" s="8">
        <f t="shared" si="0"/>
        <v>0</v>
      </c>
    </row>
    <row r="16" spans="1:12" ht="165.75" customHeight="1" thickBot="1" x14ac:dyDescent="0.3">
      <c r="A16" s="46" t="s">
        <v>19</v>
      </c>
      <c r="B16" s="24" t="s">
        <v>7</v>
      </c>
      <c r="C16" s="12" t="s">
        <v>17</v>
      </c>
      <c r="D16" s="12" t="s">
        <v>120</v>
      </c>
      <c r="E16" s="13" t="s">
        <v>121</v>
      </c>
      <c r="F16" s="22" t="s">
        <v>122</v>
      </c>
      <c r="G16" s="13" t="s">
        <v>0</v>
      </c>
      <c r="H16" s="12" t="s">
        <v>316</v>
      </c>
      <c r="I16" s="11">
        <v>2000</v>
      </c>
      <c r="J16" s="10"/>
      <c r="K16" s="9">
        <v>2000</v>
      </c>
      <c r="L16" s="8">
        <f t="shared" si="0"/>
        <v>0</v>
      </c>
    </row>
    <row r="17" spans="1:12" ht="165.75" customHeight="1" thickBot="1" x14ac:dyDescent="0.3">
      <c r="A17" s="47"/>
      <c r="B17" s="24" t="s">
        <v>7</v>
      </c>
      <c r="C17" s="12" t="s">
        <v>17</v>
      </c>
      <c r="D17" s="12" t="s">
        <v>120</v>
      </c>
      <c r="E17" s="13" t="s">
        <v>121</v>
      </c>
      <c r="F17" s="22" t="s">
        <v>122</v>
      </c>
      <c r="G17" s="13" t="s">
        <v>0</v>
      </c>
      <c r="H17" s="12" t="s">
        <v>339</v>
      </c>
      <c r="I17" s="11">
        <v>1000</v>
      </c>
      <c r="J17" s="10"/>
      <c r="K17" s="9">
        <v>1000</v>
      </c>
      <c r="L17" s="8">
        <f t="shared" si="0"/>
        <v>0</v>
      </c>
    </row>
    <row r="18" spans="1:12" ht="165.75" customHeight="1" thickBot="1" x14ac:dyDescent="0.3">
      <c r="A18" s="47"/>
      <c r="B18" s="24" t="s">
        <v>7</v>
      </c>
      <c r="C18" s="12" t="s">
        <v>15</v>
      </c>
      <c r="D18" s="12" t="s">
        <v>14</v>
      </c>
      <c r="E18" s="13" t="s">
        <v>13</v>
      </c>
      <c r="F18" s="22" t="s">
        <v>4</v>
      </c>
      <c r="G18" s="13" t="s">
        <v>0</v>
      </c>
      <c r="H18" s="12" t="s">
        <v>316</v>
      </c>
      <c r="I18" s="11">
        <v>3560</v>
      </c>
      <c r="J18" s="10"/>
      <c r="K18" s="9">
        <f>2000+1560</f>
        <v>3560</v>
      </c>
      <c r="L18" s="8">
        <f t="shared" si="0"/>
        <v>0</v>
      </c>
    </row>
    <row r="19" spans="1:12" ht="165.75" customHeight="1" thickBot="1" x14ac:dyDescent="0.3">
      <c r="A19" s="47"/>
      <c r="B19" s="24" t="s">
        <v>12</v>
      </c>
      <c r="C19" s="12" t="s">
        <v>3</v>
      </c>
      <c r="D19" s="12" t="s">
        <v>11</v>
      </c>
      <c r="E19" s="13" t="s">
        <v>10</v>
      </c>
      <c r="F19" s="22" t="s">
        <v>4</v>
      </c>
      <c r="G19" s="13" t="s">
        <v>0</v>
      </c>
      <c r="H19" s="12" t="s">
        <v>316</v>
      </c>
      <c r="I19" s="11">
        <v>5000</v>
      </c>
      <c r="J19" s="10"/>
      <c r="K19" s="9">
        <v>5000</v>
      </c>
      <c r="L19" s="8">
        <f t="shared" si="0"/>
        <v>0</v>
      </c>
    </row>
    <row r="20" spans="1:12" ht="165.75" customHeight="1" thickBot="1" x14ac:dyDescent="0.3">
      <c r="A20" s="47"/>
      <c r="B20" s="24" t="s">
        <v>12</v>
      </c>
      <c r="C20" s="12" t="s">
        <v>3</v>
      </c>
      <c r="D20" s="12" t="s">
        <v>11</v>
      </c>
      <c r="E20" s="13" t="s">
        <v>10</v>
      </c>
      <c r="F20" s="22" t="s">
        <v>9</v>
      </c>
      <c r="G20" s="13" t="s">
        <v>0</v>
      </c>
      <c r="H20" s="12" t="s">
        <v>340</v>
      </c>
      <c r="I20" s="11">
        <v>5000</v>
      </c>
      <c r="J20" s="10"/>
      <c r="K20" s="9">
        <v>5000</v>
      </c>
      <c r="L20" s="8">
        <f t="shared" si="0"/>
        <v>0</v>
      </c>
    </row>
    <row r="21" spans="1:12" ht="165.75" customHeight="1" thickBot="1" x14ac:dyDescent="0.3">
      <c r="A21" s="47"/>
      <c r="B21" s="24" t="s">
        <v>7</v>
      </c>
      <c r="C21" s="12" t="s">
        <v>6</v>
      </c>
      <c r="D21" s="12" t="s">
        <v>1</v>
      </c>
      <c r="E21" s="13" t="s">
        <v>5</v>
      </c>
      <c r="F21" s="22" t="s">
        <v>4</v>
      </c>
      <c r="G21" s="13" t="s">
        <v>0</v>
      </c>
      <c r="H21" s="12" t="s">
        <v>316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65.75" customHeight="1" thickBot="1" x14ac:dyDescent="0.3">
      <c r="A22" s="47"/>
      <c r="B22" s="24" t="s">
        <v>194</v>
      </c>
      <c r="C22" s="12" t="s">
        <v>3</v>
      </c>
      <c r="D22" s="12" t="s">
        <v>1</v>
      </c>
      <c r="E22" s="13" t="s">
        <v>195</v>
      </c>
      <c r="F22" s="22" t="s">
        <v>122</v>
      </c>
      <c r="G22" s="13" t="s">
        <v>0</v>
      </c>
      <c r="H22" s="12" t="s">
        <v>316</v>
      </c>
      <c r="I22" s="11">
        <v>2500</v>
      </c>
      <c r="J22" s="10"/>
      <c r="K22" s="9">
        <v>2500</v>
      </c>
      <c r="L22" s="8">
        <f t="shared" si="0"/>
        <v>0</v>
      </c>
    </row>
    <row r="23" spans="1:12" ht="165.75" customHeight="1" thickBot="1" x14ac:dyDescent="0.3">
      <c r="A23" s="48"/>
      <c r="B23" s="24" t="s">
        <v>194</v>
      </c>
      <c r="C23" s="12" t="s">
        <v>118</v>
      </c>
      <c r="D23" s="12" t="s">
        <v>1</v>
      </c>
      <c r="E23" s="13" t="s">
        <v>216</v>
      </c>
      <c r="F23" s="22" t="s">
        <v>122</v>
      </c>
      <c r="G23" s="13" t="s">
        <v>0</v>
      </c>
      <c r="H23" s="12" t="s">
        <v>316</v>
      </c>
      <c r="I23" s="11">
        <v>1000</v>
      </c>
      <c r="J23" s="10"/>
      <c r="K23" s="9">
        <v>1000</v>
      </c>
      <c r="L23" s="8">
        <f t="shared" si="0"/>
        <v>0</v>
      </c>
    </row>
  </sheetData>
  <autoFilter ref="A2:L23"/>
  <dataConsolidate/>
  <mergeCells count="4">
    <mergeCell ref="A1:L1"/>
    <mergeCell ref="A3:A7"/>
    <mergeCell ref="A8:A14"/>
    <mergeCell ref="A16:A23"/>
  </mergeCells>
  <conditionalFormatting sqref="K3:L21 I2:I21 K23:L23 I23">
    <cfRule type="cellIs" dxfId="78" priority="17" operator="lessThan">
      <formula>0</formula>
    </cfRule>
  </conditionalFormatting>
  <conditionalFormatting sqref="L2">
    <cfRule type="cellIs" dxfId="77" priority="16" operator="lessThan">
      <formula>0</formula>
    </cfRule>
  </conditionalFormatting>
  <conditionalFormatting sqref="I22 K22:L22">
    <cfRule type="cellIs" dxfId="76" priority="15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5"/>
  <sheetViews>
    <sheetView showGridLines="0" view="pageBreakPreview" zoomScale="20" zoomScaleNormal="15" zoomScaleSheetLayoutView="20" workbookViewId="0">
      <selection sqref="A1:L1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359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50" t="s">
        <v>41</v>
      </c>
      <c r="B3" s="13" t="s">
        <v>136</v>
      </c>
      <c r="C3" s="12" t="s">
        <v>118</v>
      </c>
      <c r="D3" s="12" t="s">
        <v>126</v>
      </c>
      <c r="E3" s="13" t="s">
        <v>169</v>
      </c>
      <c r="F3" s="22" t="s">
        <v>122</v>
      </c>
      <c r="G3" s="13" t="s">
        <v>0</v>
      </c>
      <c r="H3" s="12" t="s">
        <v>316</v>
      </c>
      <c r="I3" s="11">
        <v>1500</v>
      </c>
      <c r="J3" s="10"/>
      <c r="K3" s="9">
        <v>1500</v>
      </c>
      <c r="L3" s="8">
        <f t="shared" ref="L3:L35" si="0">K3+J3-I3</f>
        <v>0</v>
      </c>
    </row>
    <row r="4" spans="1:12" ht="162" customHeight="1" thickBot="1" x14ac:dyDescent="0.3">
      <c r="A4" s="50"/>
      <c r="B4" s="13" t="s">
        <v>136</v>
      </c>
      <c r="C4" s="12" t="s">
        <v>3</v>
      </c>
      <c r="D4" s="12" t="s">
        <v>126</v>
      </c>
      <c r="E4" s="13" t="s">
        <v>153</v>
      </c>
      <c r="F4" s="22" t="s">
        <v>122</v>
      </c>
      <c r="G4" s="13" t="s">
        <v>0</v>
      </c>
      <c r="H4" s="12" t="s">
        <v>316</v>
      </c>
      <c r="I4" s="11">
        <v>7000</v>
      </c>
      <c r="J4" s="10">
        <v>1000</v>
      </c>
      <c r="K4" s="9">
        <v>6000</v>
      </c>
      <c r="L4" s="8">
        <f t="shared" si="0"/>
        <v>0</v>
      </c>
    </row>
    <row r="5" spans="1:12" ht="162" customHeight="1" thickBot="1" x14ac:dyDescent="0.3">
      <c r="A5" s="50"/>
      <c r="B5" s="13" t="s">
        <v>38</v>
      </c>
      <c r="C5" s="12" t="s">
        <v>15</v>
      </c>
      <c r="D5" s="12" t="s">
        <v>24</v>
      </c>
      <c r="E5" s="13" t="s">
        <v>96</v>
      </c>
      <c r="F5" s="22" t="s">
        <v>4</v>
      </c>
      <c r="G5" s="13" t="s">
        <v>0</v>
      </c>
      <c r="H5" s="12" t="s">
        <v>316</v>
      </c>
      <c r="I5" s="11">
        <v>1072</v>
      </c>
      <c r="J5" s="10">
        <v>500</v>
      </c>
      <c r="K5" s="9">
        <v>572</v>
      </c>
      <c r="L5" s="8">
        <f t="shared" si="0"/>
        <v>0</v>
      </c>
    </row>
    <row r="6" spans="1:12" ht="162" customHeight="1" thickBot="1" x14ac:dyDescent="0.3">
      <c r="A6" s="50"/>
      <c r="B6" s="13" t="s">
        <v>77</v>
      </c>
      <c r="C6" s="12" t="s">
        <v>27</v>
      </c>
      <c r="D6" s="12" t="s">
        <v>24</v>
      </c>
      <c r="E6" s="13" t="s">
        <v>76</v>
      </c>
      <c r="F6" s="22" t="s">
        <v>4</v>
      </c>
      <c r="G6" s="13" t="s">
        <v>0</v>
      </c>
      <c r="H6" s="12" t="s">
        <v>316</v>
      </c>
      <c r="I6" s="11">
        <v>2004</v>
      </c>
      <c r="J6" s="10">
        <v>1000</v>
      </c>
      <c r="K6" s="9">
        <v>1004</v>
      </c>
      <c r="L6" s="8">
        <f t="shared" si="0"/>
        <v>0</v>
      </c>
    </row>
    <row r="7" spans="1:12" ht="162" customHeight="1" thickBot="1" x14ac:dyDescent="0.3">
      <c r="A7" s="50"/>
      <c r="B7" s="13" t="s">
        <v>77</v>
      </c>
      <c r="C7" s="12" t="s">
        <v>27</v>
      </c>
      <c r="D7" s="12" t="s">
        <v>24</v>
      </c>
      <c r="E7" s="13" t="s">
        <v>55</v>
      </c>
      <c r="F7" s="22" t="s">
        <v>9</v>
      </c>
      <c r="G7" s="13" t="s">
        <v>0</v>
      </c>
      <c r="H7" s="12" t="s">
        <v>316</v>
      </c>
      <c r="I7" s="11">
        <v>2500</v>
      </c>
      <c r="J7" s="10">
        <v>1000</v>
      </c>
      <c r="K7" s="9">
        <v>1500</v>
      </c>
      <c r="L7" s="8">
        <f t="shared" si="0"/>
        <v>0</v>
      </c>
    </row>
    <row r="8" spans="1:12" ht="162" customHeight="1" thickBot="1" x14ac:dyDescent="0.3">
      <c r="A8" s="50"/>
      <c r="B8" s="24" t="s">
        <v>77</v>
      </c>
      <c r="C8" s="12" t="s">
        <v>27</v>
      </c>
      <c r="D8" s="12" t="s">
        <v>24</v>
      </c>
      <c r="E8" s="13" t="s">
        <v>197</v>
      </c>
      <c r="F8" s="22" t="s">
        <v>4</v>
      </c>
      <c r="G8" s="13" t="s">
        <v>0</v>
      </c>
      <c r="H8" s="12" t="s">
        <v>316</v>
      </c>
      <c r="I8" s="11">
        <v>3450</v>
      </c>
      <c r="J8" s="10"/>
      <c r="K8" s="9">
        <f>2000+1450</f>
        <v>3450</v>
      </c>
      <c r="L8" s="8">
        <f t="shared" si="0"/>
        <v>0</v>
      </c>
    </row>
    <row r="9" spans="1:12" ht="162" customHeight="1" thickBot="1" x14ac:dyDescent="0.3">
      <c r="A9" s="50"/>
      <c r="B9" s="24" t="s">
        <v>29</v>
      </c>
      <c r="C9" s="12" t="s">
        <v>125</v>
      </c>
      <c r="D9" s="12" t="s">
        <v>24</v>
      </c>
      <c r="E9" s="13" t="s">
        <v>232</v>
      </c>
      <c r="F9" s="22" t="s">
        <v>4</v>
      </c>
      <c r="G9" s="13" t="s">
        <v>37</v>
      </c>
      <c r="H9" s="12" t="s">
        <v>316</v>
      </c>
      <c r="I9" s="11">
        <v>1000</v>
      </c>
      <c r="J9" s="10">
        <v>500</v>
      </c>
      <c r="K9" s="9">
        <v>500</v>
      </c>
      <c r="L9" s="8">
        <f t="shared" si="0"/>
        <v>0</v>
      </c>
    </row>
    <row r="10" spans="1:12" ht="162" customHeight="1" thickBot="1" x14ac:dyDescent="0.3">
      <c r="A10" s="50"/>
      <c r="B10" s="24" t="s">
        <v>112</v>
      </c>
      <c r="C10" s="12" t="s">
        <v>113</v>
      </c>
      <c r="D10" s="12" t="s">
        <v>24</v>
      </c>
      <c r="E10" s="37" t="s">
        <v>114</v>
      </c>
      <c r="F10" s="22" t="s">
        <v>4</v>
      </c>
      <c r="G10" s="13" t="s">
        <v>0</v>
      </c>
      <c r="H10" s="12" t="s">
        <v>316</v>
      </c>
      <c r="I10" s="11">
        <v>1780</v>
      </c>
      <c r="J10" s="10">
        <v>500</v>
      </c>
      <c r="K10" s="9">
        <v>1280</v>
      </c>
      <c r="L10" s="8">
        <f t="shared" si="0"/>
        <v>0</v>
      </c>
    </row>
    <row r="11" spans="1:12" ht="162" customHeight="1" thickBot="1" x14ac:dyDescent="0.3">
      <c r="A11" s="50"/>
      <c r="B11" s="24" t="s">
        <v>112</v>
      </c>
      <c r="C11" s="12" t="s">
        <v>113</v>
      </c>
      <c r="D11" s="22" t="s">
        <v>24</v>
      </c>
      <c r="E11" s="13" t="s">
        <v>341</v>
      </c>
      <c r="F11" s="22" t="s">
        <v>4</v>
      </c>
      <c r="G11" s="13" t="s">
        <v>0</v>
      </c>
      <c r="H11" s="12" t="s">
        <v>316</v>
      </c>
      <c r="I11" s="11">
        <v>260</v>
      </c>
      <c r="J11" s="10"/>
      <c r="K11" s="9">
        <v>260</v>
      </c>
      <c r="L11" s="8">
        <f t="shared" si="0"/>
        <v>0</v>
      </c>
    </row>
    <row r="12" spans="1:12" ht="162" customHeight="1" thickBot="1" x14ac:dyDescent="0.3">
      <c r="A12" s="50"/>
      <c r="B12" s="24" t="s">
        <v>32</v>
      </c>
      <c r="C12" s="12" t="s">
        <v>31</v>
      </c>
      <c r="D12" s="22" t="s">
        <v>24</v>
      </c>
      <c r="E12" s="13" t="s">
        <v>116</v>
      </c>
      <c r="F12" s="22" t="s">
        <v>9</v>
      </c>
      <c r="G12" s="13" t="s">
        <v>0</v>
      </c>
      <c r="H12" s="12" t="s">
        <v>340</v>
      </c>
      <c r="I12" s="11">
        <v>4000</v>
      </c>
      <c r="J12" s="10"/>
      <c r="K12" s="9">
        <v>4000</v>
      </c>
      <c r="L12" s="8">
        <f t="shared" si="0"/>
        <v>0</v>
      </c>
    </row>
    <row r="13" spans="1:12" ht="162" customHeight="1" thickBot="1" x14ac:dyDescent="0.3">
      <c r="A13" s="50" t="s">
        <v>36</v>
      </c>
      <c r="B13" s="24" t="s">
        <v>99</v>
      </c>
      <c r="C13" s="12" t="s">
        <v>100</v>
      </c>
      <c r="D13" s="12" t="s">
        <v>24</v>
      </c>
      <c r="E13" s="13" t="s">
        <v>342</v>
      </c>
      <c r="F13" s="22" t="s">
        <v>102</v>
      </c>
      <c r="G13" s="13" t="s">
        <v>37</v>
      </c>
      <c r="H13" s="12" t="s">
        <v>295</v>
      </c>
      <c r="I13" s="11">
        <v>455</v>
      </c>
      <c r="J13" s="10"/>
      <c r="K13" s="9">
        <v>455</v>
      </c>
      <c r="L13" s="8">
        <f t="shared" si="0"/>
        <v>0</v>
      </c>
    </row>
    <row r="14" spans="1:12" ht="162" customHeight="1" thickBot="1" x14ac:dyDescent="0.3">
      <c r="A14" s="50"/>
      <c r="B14" s="24" t="s">
        <v>99</v>
      </c>
      <c r="C14" s="12" t="s">
        <v>100</v>
      </c>
      <c r="D14" s="12" t="s">
        <v>24</v>
      </c>
      <c r="E14" s="13" t="s">
        <v>343</v>
      </c>
      <c r="F14" s="22" t="s">
        <v>102</v>
      </c>
      <c r="G14" s="13" t="s">
        <v>37</v>
      </c>
      <c r="H14" s="12" t="s">
        <v>295</v>
      </c>
      <c r="I14" s="11">
        <v>488</v>
      </c>
      <c r="J14" s="10"/>
      <c r="K14" s="9">
        <v>488</v>
      </c>
      <c r="L14" s="8">
        <f t="shared" si="0"/>
        <v>0</v>
      </c>
    </row>
    <row r="15" spans="1:12" ht="165.75" customHeight="1" thickBot="1" x14ac:dyDescent="0.3">
      <c r="A15" s="50"/>
      <c r="B15" s="24" t="s">
        <v>99</v>
      </c>
      <c r="C15" s="12" t="s">
        <v>100</v>
      </c>
      <c r="D15" s="12" t="s">
        <v>24</v>
      </c>
      <c r="E15" s="13" t="s">
        <v>344</v>
      </c>
      <c r="F15" s="22" t="s">
        <v>102</v>
      </c>
      <c r="G15" s="13" t="s">
        <v>37</v>
      </c>
      <c r="H15" s="12" t="s">
        <v>295</v>
      </c>
      <c r="I15" s="11">
        <v>448</v>
      </c>
      <c r="J15" s="10"/>
      <c r="K15" s="9">
        <v>448</v>
      </c>
      <c r="L15" s="8">
        <f t="shared" si="0"/>
        <v>0</v>
      </c>
    </row>
    <row r="16" spans="1:12" ht="165.75" customHeight="1" thickBot="1" x14ac:dyDescent="0.3">
      <c r="A16" s="50"/>
      <c r="B16" s="24" t="s">
        <v>61</v>
      </c>
      <c r="C16" s="12" t="s">
        <v>31</v>
      </c>
      <c r="D16" s="12" t="s">
        <v>24</v>
      </c>
      <c r="E16" s="13" t="s">
        <v>78</v>
      </c>
      <c r="F16" s="22" t="s">
        <v>4</v>
      </c>
      <c r="G16" s="13" t="s">
        <v>0</v>
      </c>
      <c r="H16" s="12" t="s">
        <v>316</v>
      </c>
      <c r="I16" s="11">
        <v>3080</v>
      </c>
      <c r="J16" s="10"/>
      <c r="K16" s="9">
        <v>3080</v>
      </c>
      <c r="L16" s="8">
        <f t="shared" si="0"/>
        <v>0</v>
      </c>
    </row>
    <row r="17" spans="1:12" ht="165.75" customHeight="1" thickBot="1" x14ac:dyDescent="0.3">
      <c r="A17" s="50"/>
      <c r="B17" s="24" t="s">
        <v>40</v>
      </c>
      <c r="C17" s="12" t="s">
        <v>27</v>
      </c>
      <c r="D17" s="12" t="s">
        <v>24</v>
      </c>
      <c r="E17" s="13" t="s">
        <v>197</v>
      </c>
      <c r="F17" s="22" t="s">
        <v>4</v>
      </c>
      <c r="G17" s="13" t="s">
        <v>0</v>
      </c>
      <c r="H17" s="12" t="s">
        <v>316</v>
      </c>
      <c r="I17" s="11">
        <v>3000</v>
      </c>
      <c r="J17" s="10"/>
      <c r="K17" s="9">
        <v>3000</v>
      </c>
      <c r="L17" s="8">
        <f t="shared" si="0"/>
        <v>0</v>
      </c>
    </row>
    <row r="18" spans="1:12" ht="165.75" customHeight="1" thickBot="1" x14ac:dyDescent="0.3">
      <c r="A18" s="50"/>
      <c r="B18" s="24" t="s">
        <v>40</v>
      </c>
      <c r="C18" s="12" t="s">
        <v>27</v>
      </c>
      <c r="D18" s="12" t="s">
        <v>24</v>
      </c>
      <c r="E18" s="13" t="s">
        <v>197</v>
      </c>
      <c r="F18" s="22" t="s">
        <v>4</v>
      </c>
      <c r="G18" s="13" t="s">
        <v>0</v>
      </c>
      <c r="H18" s="12" t="s">
        <v>316</v>
      </c>
      <c r="I18" s="11">
        <v>1000</v>
      </c>
      <c r="J18" s="10">
        <v>1000</v>
      </c>
      <c r="K18" s="9"/>
      <c r="L18" s="8">
        <f t="shared" si="0"/>
        <v>0</v>
      </c>
    </row>
    <row r="19" spans="1:12" ht="165.75" customHeight="1" thickBot="1" x14ac:dyDescent="0.3">
      <c r="A19" s="50"/>
      <c r="B19" s="24" t="s">
        <v>38</v>
      </c>
      <c r="C19" s="12" t="s">
        <v>15</v>
      </c>
      <c r="D19" s="12" t="s">
        <v>24</v>
      </c>
      <c r="E19" s="13" t="s">
        <v>96</v>
      </c>
      <c r="F19" s="22" t="s">
        <v>4</v>
      </c>
      <c r="G19" s="13" t="s">
        <v>0</v>
      </c>
      <c r="H19" s="12" t="s">
        <v>316</v>
      </c>
      <c r="I19" s="11">
        <v>1500</v>
      </c>
      <c r="J19" s="10">
        <v>500</v>
      </c>
      <c r="K19" s="9">
        <v>1000</v>
      </c>
      <c r="L19" s="8">
        <f t="shared" si="0"/>
        <v>0</v>
      </c>
    </row>
    <row r="20" spans="1:12" ht="165.75" customHeight="1" thickBot="1" x14ac:dyDescent="0.3">
      <c r="A20" s="50"/>
      <c r="B20" s="24" t="s">
        <v>77</v>
      </c>
      <c r="C20" s="12" t="s">
        <v>27</v>
      </c>
      <c r="D20" s="12" t="s">
        <v>24</v>
      </c>
      <c r="E20" s="13" t="s">
        <v>76</v>
      </c>
      <c r="F20" s="22" t="s">
        <v>4</v>
      </c>
      <c r="G20" s="13" t="s">
        <v>0</v>
      </c>
      <c r="H20" s="12" t="s">
        <v>316</v>
      </c>
      <c r="I20" s="11">
        <v>3004</v>
      </c>
      <c r="J20" s="10">
        <v>1000</v>
      </c>
      <c r="K20" s="9">
        <v>2004</v>
      </c>
      <c r="L20" s="8">
        <f t="shared" si="0"/>
        <v>0</v>
      </c>
    </row>
    <row r="21" spans="1:12" ht="165.75" customHeight="1" thickBot="1" x14ac:dyDescent="0.3">
      <c r="A21" s="50"/>
      <c r="B21" s="24" t="s">
        <v>112</v>
      </c>
      <c r="C21" s="12" t="s">
        <v>113</v>
      </c>
      <c r="D21" s="12" t="s">
        <v>24</v>
      </c>
      <c r="E21" s="13" t="s">
        <v>114</v>
      </c>
      <c r="F21" s="22" t="s">
        <v>4</v>
      </c>
      <c r="G21" s="13" t="s">
        <v>0</v>
      </c>
      <c r="H21" s="12" t="s">
        <v>316</v>
      </c>
      <c r="I21" s="11">
        <v>2000</v>
      </c>
      <c r="J21" s="10"/>
      <c r="K21" s="9">
        <v>2000</v>
      </c>
      <c r="L21" s="8">
        <f t="shared" si="0"/>
        <v>0</v>
      </c>
    </row>
    <row r="22" spans="1:12" ht="165.75" customHeight="1" thickBot="1" x14ac:dyDescent="0.3">
      <c r="A22" s="46" t="s">
        <v>23</v>
      </c>
      <c r="B22" s="24" t="s">
        <v>223</v>
      </c>
      <c r="C22" s="12" t="s">
        <v>17</v>
      </c>
      <c r="D22" s="12" t="s">
        <v>311</v>
      </c>
      <c r="E22" s="13" t="s">
        <v>312</v>
      </c>
      <c r="F22" s="22" t="s">
        <v>122</v>
      </c>
      <c r="G22" s="13" t="s">
        <v>0</v>
      </c>
      <c r="H22" s="12" t="s">
        <v>316</v>
      </c>
      <c r="I22" s="11">
        <v>4500</v>
      </c>
      <c r="J22" s="10">
        <v>1000</v>
      </c>
      <c r="K22" s="9">
        <v>3500</v>
      </c>
      <c r="L22" s="8">
        <f t="shared" si="0"/>
        <v>0</v>
      </c>
    </row>
    <row r="23" spans="1:12" ht="165.75" customHeight="1" thickBot="1" x14ac:dyDescent="0.3">
      <c r="A23" s="47"/>
      <c r="B23" s="24" t="s">
        <v>12</v>
      </c>
      <c r="C23" s="12" t="s">
        <v>6</v>
      </c>
      <c r="D23" s="12" t="s">
        <v>20</v>
      </c>
      <c r="E23" s="13" t="s">
        <v>22</v>
      </c>
      <c r="F23" s="22" t="s">
        <v>4</v>
      </c>
      <c r="G23" s="13" t="s">
        <v>0</v>
      </c>
      <c r="H23" s="12" t="s">
        <v>316</v>
      </c>
      <c r="I23" s="11">
        <v>2870</v>
      </c>
      <c r="J23" s="10">
        <v>1000</v>
      </c>
      <c r="K23" s="9">
        <v>1870</v>
      </c>
      <c r="L23" s="8">
        <f t="shared" si="0"/>
        <v>0</v>
      </c>
    </row>
    <row r="24" spans="1:12" ht="165.75" customHeight="1" thickBot="1" x14ac:dyDescent="0.3">
      <c r="A24" s="47"/>
      <c r="B24" s="24" t="s">
        <v>21</v>
      </c>
      <c r="C24" s="12" t="s">
        <v>118</v>
      </c>
      <c r="D24" s="12" t="s">
        <v>20</v>
      </c>
      <c r="E24" s="13" t="s">
        <v>222</v>
      </c>
      <c r="F24" s="22" t="s">
        <v>4</v>
      </c>
      <c r="G24" s="13" t="s">
        <v>0</v>
      </c>
      <c r="H24" s="12" t="s">
        <v>316</v>
      </c>
      <c r="I24" s="11">
        <v>1810</v>
      </c>
      <c r="J24" s="10">
        <v>1000</v>
      </c>
      <c r="K24" s="9">
        <v>810</v>
      </c>
      <c r="L24" s="8">
        <f t="shared" si="0"/>
        <v>0</v>
      </c>
    </row>
    <row r="25" spans="1:12" ht="165.75" customHeight="1" thickBot="1" x14ac:dyDescent="0.3">
      <c r="A25" s="47"/>
      <c r="B25" s="24" t="s">
        <v>21</v>
      </c>
      <c r="C25" s="12" t="s">
        <v>3</v>
      </c>
      <c r="D25" s="12" t="s">
        <v>20</v>
      </c>
      <c r="E25" s="13" t="s">
        <v>56</v>
      </c>
      <c r="F25" s="22" t="s">
        <v>9</v>
      </c>
      <c r="G25" s="13" t="s">
        <v>0</v>
      </c>
      <c r="H25" s="12" t="s">
        <v>316</v>
      </c>
      <c r="I25" s="11">
        <v>5000</v>
      </c>
      <c r="J25" s="10"/>
      <c r="K25" s="9">
        <v>5000</v>
      </c>
      <c r="L25" s="8">
        <f t="shared" si="0"/>
        <v>0</v>
      </c>
    </row>
    <row r="26" spans="1:12" ht="165.75" customHeight="1" thickBot="1" x14ac:dyDescent="0.3">
      <c r="A26" s="48"/>
      <c r="B26" s="24" t="s">
        <v>21</v>
      </c>
      <c r="C26" s="12" t="s">
        <v>3</v>
      </c>
      <c r="D26" s="12" t="s">
        <v>20</v>
      </c>
      <c r="E26" s="13" t="s">
        <v>56</v>
      </c>
      <c r="F26" s="22" t="s">
        <v>9</v>
      </c>
      <c r="G26" s="13" t="s">
        <v>0</v>
      </c>
      <c r="H26" s="12" t="s">
        <v>340</v>
      </c>
      <c r="I26" s="11">
        <v>7000</v>
      </c>
      <c r="J26" s="10"/>
      <c r="K26" s="9">
        <v>7000</v>
      </c>
      <c r="L26" s="8">
        <f t="shared" si="0"/>
        <v>0</v>
      </c>
    </row>
    <row r="27" spans="1:12" ht="165.75" customHeight="1" thickBot="1" x14ac:dyDescent="0.3">
      <c r="A27" s="46" t="s">
        <v>54</v>
      </c>
      <c r="B27" s="24" t="s">
        <v>223</v>
      </c>
      <c r="C27" s="12" t="s">
        <v>224</v>
      </c>
      <c r="D27" s="12" t="s">
        <v>60</v>
      </c>
      <c r="E27" s="13" t="s">
        <v>345</v>
      </c>
      <c r="F27" s="22" t="s">
        <v>4</v>
      </c>
      <c r="G27" s="13" t="s">
        <v>37</v>
      </c>
      <c r="H27" s="12" t="s">
        <v>316</v>
      </c>
      <c r="I27" s="11">
        <v>400</v>
      </c>
      <c r="J27" s="10"/>
      <c r="K27" s="9">
        <v>400</v>
      </c>
      <c r="L27" s="8">
        <f t="shared" si="0"/>
        <v>0</v>
      </c>
    </row>
    <row r="28" spans="1:12" ht="165.75" customHeight="1" thickBot="1" x14ac:dyDescent="0.3">
      <c r="A28" s="47"/>
      <c r="B28" s="24" t="s">
        <v>104</v>
      </c>
      <c r="C28" s="12" t="s">
        <v>235</v>
      </c>
      <c r="D28" s="12" t="s">
        <v>60</v>
      </c>
      <c r="E28" s="13" t="s">
        <v>346</v>
      </c>
      <c r="F28" s="22" t="s">
        <v>64</v>
      </c>
      <c r="G28" s="13" t="s">
        <v>37</v>
      </c>
      <c r="H28" s="12" t="s">
        <v>316</v>
      </c>
      <c r="I28" s="11">
        <v>93</v>
      </c>
      <c r="J28" s="10"/>
      <c r="K28" s="9">
        <v>93</v>
      </c>
      <c r="L28" s="8">
        <f t="shared" si="0"/>
        <v>0</v>
      </c>
    </row>
    <row r="29" spans="1:12" ht="165.75" customHeight="1" thickBot="1" x14ac:dyDescent="0.3">
      <c r="A29" s="47"/>
      <c r="B29" s="24" t="s">
        <v>104</v>
      </c>
      <c r="C29" s="12" t="s">
        <v>235</v>
      </c>
      <c r="D29" s="12" t="s">
        <v>60</v>
      </c>
      <c r="E29" s="13" t="s">
        <v>347</v>
      </c>
      <c r="F29" s="22" t="s">
        <v>64</v>
      </c>
      <c r="G29" s="13" t="s">
        <v>37</v>
      </c>
      <c r="H29" s="12" t="s">
        <v>316</v>
      </c>
      <c r="I29" s="11">
        <v>556</v>
      </c>
      <c r="J29" s="10"/>
      <c r="K29" s="9">
        <v>556</v>
      </c>
      <c r="L29" s="8">
        <f t="shared" si="0"/>
        <v>0</v>
      </c>
    </row>
    <row r="30" spans="1:12" ht="165.75" customHeight="1" thickBot="1" x14ac:dyDescent="0.3">
      <c r="A30" s="48"/>
      <c r="B30" s="24" t="s">
        <v>104</v>
      </c>
      <c r="C30" s="12" t="s">
        <v>235</v>
      </c>
      <c r="D30" s="12" t="s">
        <v>60</v>
      </c>
      <c r="E30" s="13" t="s">
        <v>348</v>
      </c>
      <c r="F30" s="22" t="s">
        <v>64</v>
      </c>
      <c r="G30" s="13" t="s">
        <v>37</v>
      </c>
      <c r="H30" s="12" t="s">
        <v>316</v>
      </c>
      <c r="I30" s="11">
        <v>292</v>
      </c>
      <c r="J30" s="10"/>
      <c r="K30" s="9">
        <v>292</v>
      </c>
      <c r="L30" s="8">
        <f t="shared" si="0"/>
        <v>0</v>
      </c>
    </row>
    <row r="31" spans="1:12" ht="165.75" customHeight="1" thickBot="1" x14ac:dyDescent="0.3">
      <c r="A31" s="46" t="s">
        <v>19</v>
      </c>
      <c r="B31" s="24" t="s">
        <v>7</v>
      </c>
      <c r="C31" s="12" t="s">
        <v>17</v>
      </c>
      <c r="D31" s="12" t="s">
        <v>120</v>
      </c>
      <c r="E31" s="13" t="s">
        <v>121</v>
      </c>
      <c r="F31" s="22" t="s">
        <v>122</v>
      </c>
      <c r="G31" s="13" t="s">
        <v>0</v>
      </c>
      <c r="H31" s="12" t="s">
        <v>340</v>
      </c>
      <c r="I31" s="11">
        <v>4000</v>
      </c>
      <c r="J31" s="10"/>
      <c r="K31" s="9">
        <v>4000</v>
      </c>
      <c r="L31" s="8">
        <f t="shared" si="0"/>
        <v>0</v>
      </c>
    </row>
    <row r="32" spans="1:12" ht="165.75" customHeight="1" thickBot="1" x14ac:dyDescent="0.3">
      <c r="A32" s="47"/>
      <c r="B32" s="24" t="s">
        <v>7</v>
      </c>
      <c r="C32" s="12" t="s">
        <v>15</v>
      </c>
      <c r="D32" s="12" t="s">
        <v>14</v>
      </c>
      <c r="E32" s="13" t="s">
        <v>58</v>
      </c>
      <c r="F32" s="22" t="s">
        <v>4</v>
      </c>
      <c r="G32" s="13" t="s">
        <v>0</v>
      </c>
      <c r="H32" s="12" t="s">
        <v>316</v>
      </c>
      <c r="I32" s="11">
        <v>1390</v>
      </c>
      <c r="J32" s="10"/>
      <c r="K32" s="9">
        <v>1390</v>
      </c>
      <c r="L32" s="8">
        <f t="shared" si="0"/>
        <v>0</v>
      </c>
    </row>
    <row r="33" spans="1:12" ht="165.75" customHeight="1" thickBot="1" x14ac:dyDescent="0.3">
      <c r="A33" s="47"/>
      <c r="B33" s="24" t="s">
        <v>7</v>
      </c>
      <c r="C33" s="12" t="s">
        <v>15</v>
      </c>
      <c r="D33" s="12" t="s">
        <v>14</v>
      </c>
      <c r="E33" s="13" t="s">
        <v>13</v>
      </c>
      <c r="F33" s="22" t="s">
        <v>4</v>
      </c>
      <c r="G33" s="13" t="s">
        <v>0</v>
      </c>
      <c r="H33" s="12" t="s">
        <v>316</v>
      </c>
      <c r="I33" s="11">
        <v>1000</v>
      </c>
      <c r="J33" s="10"/>
      <c r="K33" s="9">
        <v>1000</v>
      </c>
      <c r="L33" s="8">
        <f t="shared" si="0"/>
        <v>0</v>
      </c>
    </row>
    <row r="34" spans="1:12" ht="165.75" customHeight="1" thickBot="1" x14ac:dyDescent="0.3">
      <c r="A34" s="47"/>
      <c r="B34" s="24" t="s">
        <v>12</v>
      </c>
      <c r="C34" s="12" t="s">
        <v>3</v>
      </c>
      <c r="D34" s="12" t="s">
        <v>11</v>
      </c>
      <c r="E34" s="13" t="s">
        <v>10</v>
      </c>
      <c r="F34" s="22" t="s">
        <v>4</v>
      </c>
      <c r="G34" s="13" t="s">
        <v>0</v>
      </c>
      <c r="H34" s="12" t="s">
        <v>316</v>
      </c>
      <c r="I34" s="11">
        <v>14380</v>
      </c>
      <c r="J34" s="10"/>
      <c r="K34" s="9">
        <f>10000+4380</f>
        <v>14380</v>
      </c>
      <c r="L34" s="8">
        <f t="shared" si="0"/>
        <v>0</v>
      </c>
    </row>
    <row r="35" spans="1:12" ht="165.75" customHeight="1" thickBot="1" x14ac:dyDescent="0.3">
      <c r="A35" s="48"/>
      <c r="B35" s="24" t="s">
        <v>7</v>
      </c>
      <c r="C35" s="12" t="s">
        <v>6</v>
      </c>
      <c r="D35" s="12" t="s">
        <v>1</v>
      </c>
      <c r="E35" s="13" t="s">
        <v>5</v>
      </c>
      <c r="F35" s="22" t="s">
        <v>4</v>
      </c>
      <c r="G35" s="13" t="s">
        <v>0</v>
      </c>
      <c r="H35" s="12" t="s">
        <v>316</v>
      </c>
      <c r="I35" s="11">
        <v>2130</v>
      </c>
      <c r="J35" s="10">
        <v>1000</v>
      </c>
      <c r="K35" s="9">
        <v>1130</v>
      </c>
      <c r="L35" s="8">
        <f t="shared" si="0"/>
        <v>0</v>
      </c>
    </row>
  </sheetData>
  <autoFilter ref="A2:L35"/>
  <dataConsolidate/>
  <mergeCells count="6">
    <mergeCell ref="A27:A30"/>
    <mergeCell ref="A31:A35"/>
    <mergeCell ref="A1:L1"/>
    <mergeCell ref="A3:A12"/>
    <mergeCell ref="A13:A21"/>
    <mergeCell ref="A22:A26"/>
  </mergeCells>
  <conditionalFormatting sqref="K3:L21 I2:I21">
    <cfRule type="cellIs" dxfId="75" priority="18" operator="lessThan">
      <formula>0</formula>
    </cfRule>
  </conditionalFormatting>
  <conditionalFormatting sqref="L2">
    <cfRule type="cellIs" dxfId="74" priority="17" operator="lessThan">
      <formula>0</formula>
    </cfRule>
  </conditionalFormatting>
  <conditionalFormatting sqref="K22:L35 I22:I35">
    <cfRule type="cellIs" dxfId="73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66"/>
  <sheetViews>
    <sheetView showGridLines="0" view="pageBreakPreview" zoomScale="20" zoomScaleNormal="15" zoomScaleSheetLayoutView="20" workbookViewId="0">
      <selection activeCell="A2" sqref="A2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358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40</v>
      </c>
      <c r="C3" s="12" t="s">
        <v>125</v>
      </c>
      <c r="D3" s="12" t="s">
        <v>126</v>
      </c>
      <c r="E3" s="13" t="s">
        <v>349</v>
      </c>
      <c r="F3" s="22" t="s">
        <v>131</v>
      </c>
      <c r="G3" s="13" t="s">
        <v>37</v>
      </c>
      <c r="H3" s="12" t="s">
        <v>316</v>
      </c>
      <c r="I3" s="11">
        <v>577</v>
      </c>
      <c r="J3" s="10">
        <v>577</v>
      </c>
      <c r="K3" s="9"/>
      <c r="L3" s="8">
        <f t="shared" ref="L3:L66" si="0">K3+J3-I3</f>
        <v>0</v>
      </c>
    </row>
    <row r="4" spans="1:12" ht="162" customHeight="1" thickBot="1" x14ac:dyDescent="0.3">
      <c r="A4" s="47"/>
      <c r="B4" s="13" t="s">
        <v>40</v>
      </c>
      <c r="C4" s="12" t="s">
        <v>125</v>
      </c>
      <c r="D4" s="12" t="s">
        <v>126</v>
      </c>
      <c r="E4" s="13" t="s">
        <v>350</v>
      </c>
      <c r="F4" s="22" t="s">
        <v>131</v>
      </c>
      <c r="G4" s="13" t="s">
        <v>37</v>
      </c>
      <c r="H4" s="12" t="s">
        <v>316</v>
      </c>
      <c r="I4" s="11">
        <v>715</v>
      </c>
      <c r="J4" s="10"/>
      <c r="K4" s="9">
        <v>715</v>
      </c>
      <c r="L4" s="8">
        <f t="shared" si="0"/>
        <v>0</v>
      </c>
    </row>
    <row r="5" spans="1:12" ht="162" customHeight="1" thickBot="1" x14ac:dyDescent="0.3">
      <c r="A5" s="47"/>
      <c r="B5" s="13" t="s">
        <v>40</v>
      </c>
      <c r="C5" s="12" t="s">
        <v>31</v>
      </c>
      <c r="D5" s="12" t="s">
        <v>126</v>
      </c>
      <c r="E5" s="13" t="s">
        <v>351</v>
      </c>
      <c r="F5" s="22" t="s">
        <v>131</v>
      </c>
      <c r="G5" s="13" t="s">
        <v>37</v>
      </c>
      <c r="H5" s="12" t="s">
        <v>316</v>
      </c>
      <c r="I5" s="11">
        <v>878</v>
      </c>
      <c r="J5" s="10"/>
      <c r="K5" s="9">
        <v>878</v>
      </c>
      <c r="L5" s="8">
        <f t="shared" si="0"/>
        <v>0</v>
      </c>
    </row>
    <row r="6" spans="1:12" ht="162" customHeight="1" thickBot="1" x14ac:dyDescent="0.3">
      <c r="A6" s="47"/>
      <c r="B6" s="13" t="s">
        <v>136</v>
      </c>
      <c r="C6" s="12" t="s">
        <v>235</v>
      </c>
      <c r="D6" s="12" t="s">
        <v>126</v>
      </c>
      <c r="E6" s="13" t="s">
        <v>236</v>
      </c>
      <c r="F6" s="22" t="s">
        <v>122</v>
      </c>
      <c r="G6" s="13" t="s">
        <v>0</v>
      </c>
      <c r="H6" s="12" t="s">
        <v>316</v>
      </c>
      <c r="I6" s="11">
        <v>1160</v>
      </c>
      <c r="J6" s="10">
        <v>500</v>
      </c>
      <c r="K6" s="9">
        <v>660</v>
      </c>
      <c r="L6" s="8">
        <f t="shared" si="0"/>
        <v>0</v>
      </c>
    </row>
    <row r="7" spans="1:12" ht="162" customHeight="1" thickBot="1" x14ac:dyDescent="0.3">
      <c r="A7" s="47"/>
      <c r="B7" s="13" t="s">
        <v>136</v>
      </c>
      <c r="C7" s="12" t="s">
        <v>118</v>
      </c>
      <c r="D7" s="12" t="s">
        <v>126</v>
      </c>
      <c r="E7" s="13" t="s">
        <v>169</v>
      </c>
      <c r="F7" s="22" t="s">
        <v>122</v>
      </c>
      <c r="G7" s="13" t="s">
        <v>0</v>
      </c>
      <c r="H7" s="12" t="s">
        <v>340</v>
      </c>
      <c r="I7" s="11">
        <v>3000</v>
      </c>
      <c r="J7" s="10">
        <v>1000</v>
      </c>
      <c r="K7" s="9">
        <v>2000</v>
      </c>
      <c r="L7" s="8">
        <f t="shared" si="0"/>
        <v>0</v>
      </c>
    </row>
    <row r="8" spans="1:12" ht="162" customHeight="1" thickBot="1" x14ac:dyDescent="0.3">
      <c r="A8" s="47"/>
      <c r="B8" s="13" t="s">
        <v>136</v>
      </c>
      <c r="C8" s="12" t="s">
        <v>235</v>
      </c>
      <c r="D8" s="12" t="s">
        <v>126</v>
      </c>
      <c r="E8" s="13" t="s">
        <v>236</v>
      </c>
      <c r="F8" s="22" t="s">
        <v>122</v>
      </c>
      <c r="G8" s="13" t="s">
        <v>0</v>
      </c>
      <c r="H8" s="12" t="s">
        <v>356</v>
      </c>
      <c r="I8" s="11">
        <v>1340</v>
      </c>
      <c r="J8" s="10"/>
      <c r="K8" s="9">
        <v>1340</v>
      </c>
      <c r="L8" s="8">
        <f t="shared" si="0"/>
        <v>0</v>
      </c>
    </row>
    <row r="9" spans="1:12" ht="162" customHeight="1" thickBot="1" x14ac:dyDescent="0.3">
      <c r="A9" s="47"/>
      <c r="B9" s="13" t="s">
        <v>136</v>
      </c>
      <c r="C9" s="12" t="s">
        <v>118</v>
      </c>
      <c r="D9" s="12" t="s">
        <v>126</v>
      </c>
      <c r="E9" s="13" t="s">
        <v>169</v>
      </c>
      <c r="F9" s="22" t="s">
        <v>122</v>
      </c>
      <c r="G9" s="13" t="s">
        <v>0</v>
      </c>
      <c r="H9" s="12" t="s">
        <v>340</v>
      </c>
      <c r="I9" s="11">
        <v>2500</v>
      </c>
      <c r="J9" s="10"/>
      <c r="K9" s="9">
        <v>2500</v>
      </c>
      <c r="L9" s="8">
        <f t="shared" si="0"/>
        <v>0</v>
      </c>
    </row>
    <row r="10" spans="1:12" ht="162" customHeight="1" thickBot="1" x14ac:dyDescent="0.3">
      <c r="A10" s="47"/>
      <c r="B10" s="13" t="s">
        <v>112</v>
      </c>
      <c r="C10" s="12" t="s">
        <v>113</v>
      </c>
      <c r="D10" s="12" t="s">
        <v>24</v>
      </c>
      <c r="E10" s="13" t="s">
        <v>354</v>
      </c>
      <c r="F10" s="22" t="s">
        <v>9</v>
      </c>
      <c r="G10" s="13" t="s">
        <v>0</v>
      </c>
      <c r="H10" s="12" t="s">
        <v>340</v>
      </c>
      <c r="I10" s="11">
        <v>2000</v>
      </c>
      <c r="J10" s="10"/>
      <c r="K10" s="9">
        <v>2000</v>
      </c>
      <c r="L10" s="8">
        <f t="shared" si="0"/>
        <v>0</v>
      </c>
    </row>
    <row r="11" spans="1:12" ht="162" customHeight="1" thickBot="1" x14ac:dyDescent="0.3">
      <c r="A11" s="47"/>
      <c r="B11" s="24" t="s">
        <v>40</v>
      </c>
      <c r="C11" s="12" t="s">
        <v>100</v>
      </c>
      <c r="D11" s="12" t="s">
        <v>126</v>
      </c>
      <c r="E11" s="13" t="s">
        <v>130</v>
      </c>
      <c r="F11" s="22" t="s">
        <v>131</v>
      </c>
      <c r="G11" s="13" t="s">
        <v>37</v>
      </c>
      <c r="H11" s="12" t="s">
        <v>340</v>
      </c>
      <c r="I11" s="11">
        <v>1045</v>
      </c>
      <c r="J11" s="10">
        <v>500</v>
      </c>
      <c r="K11" s="9">
        <v>545</v>
      </c>
      <c r="L11" s="8">
        <f t="shared" si="0"/>
        <v>0</v>
      </c>
    </row>
    <row r="12" spans="1:12" ht="162" customHeight="1" thickBot="1" x14ac:dyDescent="0.3">
      <c r="A12" s="47"/>
      <c r="B12" s="24" t="s">
        <v>40</v>
      </c>
      <c r="C12" s="12" t="s">
        <v>100</v>
      </c>
      <c r="D12" s="12" t="s">
        <v>126</v>
      </c>
      <c r="E12" s="13" t="s">
        <v>352</v>
      </c>
      <c r="F12" s="22" t="s">
        <v>131</v>
      </c>
      <c r="G12" s="13" t="s">
        <v>37</v>
      </c>
      <c r="H12" s="12" t="s">
        <v>340</v>
      </c>
      <c r="I12" s="11">
        <v>77</v>
      </c>
      <c r="J12" s="10"/>
      <c r="K12" s="9">
        <v>77</v>
      </c>
      <c r="L12" s="8">
        <f t="shared" si="0"/>
        <v>0</v>
      </c>
    </row>
    <row r="13" spans="1:12" ht="162" customHeight="1" thickBot="1" x14ac:dyDescent="0.3">
      <c r="A13" s="47"/>
      <c r="B13" s="24" t="s">
        <v>40</v>
      </c>
      <c r="C13" s="12" t="s">
        <v>100</v>
      </c>
      <c r="D13" s="12" t="s">
        <v>126</v>
      </c>
      <c r="E13" s="37" t="s">
        <v>353</v>
      </c>
      <c r="F13" s="22" t="s">
        <v>131</v>
      </c>
      <c r="G13" s="13" t="s">
        <v>37</v>
      </c>
      <c r="H13" s="12" t="s">
        <v>340</v>
      </c>
      <c r="I13" s="11">
        <v>46</v>
      </c>
      <c r="J13" s="10"/>
      <c r="K13" s="9">
        <v>46</v>
      </c>
      <c r="L13" s="8">
        <f t="shared" si="0"/>
        <v>0</v>
      </c>
    </row>
    <row r="14" spans="1:12" ht="162" customHeight="1" thickBot="1" x14ac:dyDescent="0.3">
      <c r="A14" s="47"/>
      <c r="B14" s="24" t="s">
        <v>40</v>
      </c>
      <c r="C14" s="12" t="s">
        <v>100</v>
      </c>
      <c r="D14" s="22" t="s">
        <v>126</v>
      </c>
      <c r="E14" s="13" t="s">
        <v>238</v>
      </c>
      <c r="F14" s="22" t="s">
        <v>131</v>
      </c>
      <c r="G14" s="13" t="s">
        <v>37</v>
      </c>
      <c r="H14" s="12" t="s">
        <v>340</v>
      </c>
      <c r="I14" s="11">
        <v>287</v>
      </c>
      <c r="J14" s="10"/>
      <c r="K14" s="9">
        <v>287</v>
      </c>
      <c r="L14" s="8">
        <f t="shared" si="0"/>
        <v>0</v>
      </c>
    </row>
    <row r="15" spans="1:12" ht="162" customHeight="1" thickBot="1" x14ac:dyDescent="0.3">
      <c r="A15" s="47"/>
      <c r="B15" s="24" t="s">
        <v>95</v>
      </c>
      <c r="C15" s="12" t="s">
        <v>15</v>
      </c>
      <c r="D15" s="22" t="s">
        <v>24</v>
      </c>
      <c r="E15" s="13" t="s">
        <v>96</v>
      </c>
      <c r="F15" s="22" t="s">
        <v>4</v>
      </c>
      <c r="G15" s="13" t="s">
        <v>0</v>
      </c>
      <c r="H15" s="12" t="s">
        <v>340</v>
      </c>
      <c r="I15" s="11">
        <v>3500</v>
      </c>
      <c r="J15" s="10">
        <v>1000</v>
      </c>
      <c r="K15" s="9">
        <v>2500</v>
      </c>
      <c r="L15" s="8">
        <f t="shared" si="0"/>
        <v>0</v>
      </c>
    </row>
    <row r="16" spans="1:12" ht="162" customHeight="1" thickBot="1" x14ac:dyDescent="0.3">
      <c r="A16" s="47"/>
      <c r="B16" s="24" t="s">
        <v>77</v>
      </c>
      <c r="C16" s="12" t="s">
        <v>27</v>
      </c>
      <c r="D16" s="12" t="s">
        <v>24</v>
      </c>
      <c r="E16" s="13" t="s">
        <v>111</v>
      </c>
      <c r="F16" s="22" t="s">
        <v>4</v>
      </c>
      <c r="G16" s="13" t="s">
        <v>0</v>
      </c>
      <c r="H16" s="12" t="s">
        <v>316</v>
      </c>
      <c r="I16" s="11">
        <v>360</v>
      </c>
      <c r="J16" s="10"/>
      <c r="K16" s="9">
        <v>360</v>
      </c>
      <c r="L16" s="8">
        <f t="shared" si="0"/>
        <v>0</v>
      </c>
    </row>
    <row r="17" spans="1:12" ht="162" customHeight="1" thickBot="1" x14ac:dyDescent="0.3">
      <c r="A17" s="47"/>
      <c r="B17" s="24" t="s">
        <v>77</v>
      </c>
      <c r="C17" s="12" t="s">
        <v>27</v>
      </c>
      <c r="D17" s="12" t="s">
        <v>24</v>
      </c>
      <c r="E17" s="13" t="s">
        <v>197</v>
      </c>
      <c r="F17" s="22" t="s">
        <v>4</v>
      </c>
      <c r="G17" s="13" t="s">
        <v>0</v>
      </c>
      <c r="H17" s="12" t="s">
        <v>316</v>
      </c>
      <c r="I17" s="11">
        <v>2000</v>
      </c>
      <c r="J17" s="10"/>
      <c r="K17" s="9">
        <v>2000</v>
      </c>
      <c r="L17" s="8">
        <f t="shared" si="0"/>
        <v>0</v>
      </c>
    </row>
    <row r="18" spans="1:12" ht="165.75" customHeight="1" thickBot="1" x14ac:dyDescent="0.3">
      <c r="A18" s="47"/>
      <c r="B18" s="24" t="s">
        <v>77</v>
      </c>
      <c r="C18" s="12" t="s">
        <v>27</v>
      </c>
      <c r="D18" s="12" t="s">
        <v>24</v>
      </c>
      <c r="E18" s="13" t="s">
        <v>76</v>
      </c>
      <c r="F18" s="22" t="s">
        <v>4</v>
      </c>
      <c r="G18" s="13" t="s">
        <v>0</v>
      </c>
      <c r="H18" s="12" t="s">
        <v>340</v>
      </c>
      <c r="I18" s="11">
        <v>2000</v>
      </c>
      <c r="J18" s="10">
        <v>1000</v>
      </c>
      <c r="K18" s="9">
        <v>1000</v>
      </c>
      <c r="L18" s="8">
        <f t="shared" si="0"/>
        <v>0</v>
      </c>
    </row>
    <row r="19" spans="1:12" ht="165.75" customHeight="1" thickBot="1" x14ac:dyDescent="0.3">
      <c r="A19" s="47"/>
      <c r="B19" s="24" t="s">
        <v>77</v>
      </c>
      <c r="C19" s="12" t="s">
        <v>27</v>
      </c>
      <c r="D19" s="12" t="s">
        <v>24</v>
      </c>
      <c r="E19" s="13" t="s">
        <v>39</v>
      </c>
      <c r="F19" s="22" t="s">
        <v>4</v>
      </c>
      <c r="G19" s="13" t="s">
        <v>0</v>
      </c>
      <c r="H19" s="12" t="s">
        <v>340</v>
      </c>
      <c r="I19" s="11">
        <v>4000</v>
      </c>
      <c r="J19" s="10">
        <v>1000</v>
      </c>
      <c r="K19" s="9">
        <v>3000</v>
      </c>
      <c r="L19" s="8">
        <f t="shared" si="0"/>
        <v>0</v>
      </c>
    </row>
    <row r="20" spans="1:12" ht="165.75" customHeight="1" thickBot="1" x14ac:dyDescent="0.3">
      <c r="A20" s="47"/>
      <c r="B20" s="24" t="s">
        <v>77</v>
      </c>
      <c r="C20" s="12" t="s">
        <v>27</v>
      </c>
      <c r="D20" s="12" t="s">
        <v>24</v>
      </c>
      <c r="E20" s="13" t="s">
        <v>111</v>
      </c>
      <c r="F20" s="22" t="s">
        <v>4</v>
      </c>
      <c r="G20" s="13" t="s">
        <v>0</v>
      </c>
      <c r="H20" s="12" t="s">
        <v>340</v>
      </c>
      <c r="I20" s="11">
        <v>4000</v>
      </c>
      <c r="J20" s="10"/>
      <c r="K20" s="9">
        <v>4000</v>
      </c>
      <c r="L20" s="8">
        <f t="shared" si="0"/>
        <v>0</v>
      </c>
    </row>
    <row r="21" spans="1:12" ht="165.75" customHeight="1" thickBot="1" x14ac:dyDescent="0.3">
      <c r="A21" s="47"/>
      <c r="B21" s="24" t="s">
        <v>77</v>
      </c>
      <c r="C21" s="12" t="s">
        <v>27</v>
      </c>
      <c r="D21" s="12" t="s">
        <v>24</v>
      </c>
      <c r="E21" s="13" t="s">
        <v>197</v>
      </c>
      <c r="F21" s="22" t="s">
        <v>4</v>
      </c>
      <c r="G21" s="13" t="s">
        <v>0</v>
      </c>
      <c r="H21" s="12" t="s">
        <v>340</v>
      </c>
      <c r="I21" s="11">
        <v>2000</v>
      </c>
      <c r="J21" s="10"/>
      <c r="K21" s="9">
        <v>2000</v>
      </c>
      <c r="L21" s="8">
        <f t="shared" si="0"/>
        <v>0</v>
      </c>
    </row>
    <row r="22" spans="1:12" ht="165.75" customHeight="1" thickBot="1" x14ac:dyDescent="0.3">
      <c r="A22" s="47"/>
      <c r="B22" s="24" t="s">
        <v>29</v>
      </c>
      <c r="C22" s="12" t="s">
        <v>125</v>
      </c>
      <c r="D22" s="12" t="s">
        <v>24</v>
      </c>
      <c r="E22" s="13" t="s">
        <v>232</v>
      </c>
      <c r="F22" s="22" t="s">
        <v>4</v>
      </c>
      <c r="G22" s="13" t="s">
        <v>37</v>
      </c>
      <c r="H22" s="12" t="s">
        <v>316</v>
      </c>
      <c r="I22" s="11">
        <v>500</v>
      </c>
      <c r="J22" s="10">
        <v>500</v>
      </c>
      <c r="K22" s="9"/>
      <c r="L22" s="8">
        <f t="shared" si="0"/>
        <v>0</v>
      </c>
    </row>
    <row r="23" spans="1:12" ht="165.75" customHeight="1" thickBot="1" x14ac:dyDescent="0.3">
      <c r="A23" s="47"/>
      <c r="B23" s="24" t="s">
        <v>112</v>
      </c>
      <c r="C23" s="12" t="s">
        <v>113</v>
      </c>
      <c r="D23" s="12" t="s">
        <v>24</v>
      </c>
      <c r="E23" s="13" t="s">
        <v>354</v>
      </c>
      <c r="F23" s="22" t="s">
        <v>4</v>
      </c>
      <c r="G23" s="13" t="s">
        <v>0</v>
      </c>
      <c r="H23" s="12" t="s">
        <v>316</v>
      </c>
      <c r="I23" s="11">
        <v>1743</v>
      </c>
      <c r="J23" s="10"/>
      <c r="K23" s="9">
        <v>1743</v>
      </c>
      <c r="L23" s="8">
        <f t="shared" si="0"/>
        <v>0</v>
      </c>
    </row>
    <row r="24" spans="1:12" ht="165.75" customHeight="1" thickBot="1" x14ac:dyDescent="0.3">
      <c r="A24" s="47"/>
      <c r="B24" s="24" t="s">
        <v>32</v>
      </c>
      <c r="C24" s="12" t="s">
        <v>31</v>
      </c>
      <c r="D24" s="12" t="s">
        <v>24</v>
      </c>
      <c r="E24" s="13" t="s">
        <v>78</v>
      </c>
      <c r="F24" s="22" t="s">
        <v>4</v>
      </c>
      <c r="G24" s="13" t="s">
        <v>0</v>
      </c>
      <c r="H24" s="12" t="s">
        <v>340</v>
      </c>
      <c r="I24" s="11">
        <v>2000</v>
      </c>
      <c r="J24" s="10">
        <v>1000</v>
      </c>
      <c r="K24" s="9">
        <v>1000</v>
      </c>
      <c r="L24" s="8">
        <f t="shared" si="0"/>
        <v>0</v>
      </c>
    </row>
    <row r="25" spans="1:12" ht="165.75" customHeight="1" thickBot="1" x14ac:dyDescent="0.3">
      <c r="A25" s="47"/>
      <c r="B25" s="24" t="s">
        <v>32</v>
      </c>
      <c r="C25" s="12" t="s">
        <v>31</v>
      </c>
      <c r="D25" s="12" t="s">
        <v>24</v>
      </c>
      <c r="E25" s="13" t="s">
        <v>355</v>
      </c>
      <c r="F25" s="22" t="s">
        <v>4</v>
      </c>
      <c r="G25" s="13" t="s">
        <v>0</v>
      </c>
      <c r="H25" s="12" t="s">
        <v>340</v>
      </c>
      <c r="I25" s="11">
        <v>1000</v>
      </c>
      <c r="J25" s="10"/>
      <c r="K25" s="9">
        <v>1000</v>
      </c>
      <c r="L25" s="8">
        <f t="shared" si="0"/>
        <v>0</v>
      </c>
    </row>
    <row r="26" spans="1:12" ht="165.75" customHeight="1" thickBot="1" x14ac:dyDescent="0.3">
      <c r="A26" s="48"/>
      <c r="B26" s="24" t="s">
        <v>32</v>
      </c>
      <c r="C26" s="12" t="s">
        <v>31</v>
      </c>
      <c r="D26" s="12" t="s">
        <v>24</v>
      </c>
      <c r="E26" s="13" t="s">
        <v>116</v>
      </c>
      <c r="F26" s="22" t="s">
        <v>9</v>
      </c>
      <c r="G26" s="13" t="s">
        <v>0</v>
      </c>
      <c r="H26" s="12" t="s">
        <v>356</v>
      </c>
      <c r="I26" s="11">
        <v>1000</v>
      </c>
      <c r="J26" s="10"/>
      <c r="K26" s="9">
        <v>1000</v>
      </c>
      <c r="L26" s="8">
        <f t="shared" si="0"/>
        <v>0</v>
      </c>
    </row>
    <row r="27" spans="1:12" ht="165.75" customHeight="1" thickBot="1" x14ac:dyDescent="0.3">
      <c r="A27" s="46" t="s">
        <v>36</v>
      </c>
      <c r="B27" s="24" t="s">
        <v>61</v>
      </c>
      <c r="C27" s="12" t="s">
        <v>31</v>
      </c>
      <c r="D27" s="12" t="s">
        <v>24</v>
      </c>
      <c r="E27" s="13" t="s">
        <v>78</v>
      </c>
      <c r="F27" s="22" t="s">
        <v>4</v>
      </c>
      <c r="G27" s="13" t="s">
        <v>0</v>
      </c>
      <c r="H27" s="12" t="s">
        <v>340</v>
      </c>
      <c r="I27" s="11">
        <v>1000</v>
      </c>
      <c r="J27" s="10">
        <v>1000</v>
      </c>
      <c r="K27" s="9"/>
      <c r="L27" s="8">
        <f t="shared" si="0"/>
        <v>0</v>
      </c>
    </row>
    <row r="28" spans="1:12" ht="165.75" customHeight="1" thickBot="1" x14ac:dyDescent="0.3">
      <c r="A28" s="47"/>
      <c r="B28" s="24" t="s">
        <v>32</v>
      </c>
      <c r="C28" s="12" t="s">
        <v>31</v>
      </c>
      <c r="D28" s="12" t="s">
        <v>24</v>
      </c>
      <c r="E28" s="13" t="s">
        <v>116</v>
      </c>
      <c r="F28" s="22" t="s">
        <v>9</v>
      </c>
      <c r="G28" s="13" t="s">
        <v>0</v>
      </c>
      <c r="H28" s="12" t="s">
        <v>340</v>
      </c>
      <c r="I28" s="11">
        <v>1000</v>
      </c>
      <c r="J28" s="10"/>
      <c r="K28" s="9">
        <v>1000</v>
      </c>
      <c r="L28" s="8">
        <f t="shared" si="0"/>
        <v>0</v>
      </c>
    </row>
    <row r="29" spans="1:12" ht="165.75" customHeight="1" thickBot="1" x14ac:dyDescent="0.3">
      <c r="A29" s="47"/>
      <c r="B29" s="24" t="s">
        <v>40</v>
      </c>
      <c r="C29" s="12" t="s">
        <v>27</v>
      </c>
      <c r="D29" s="12" t="s">
        <v>24</v>
      </c>
      <c r="E29" s="13" t="s">
        <v>39</v>
      </c>
      <c r="F29" s="22" t="s">
        <v>4</v>
      </c>
      <c r="G29" s="13" t="s">
        <v>0</v>
      </c>
      <c r="H29" s="12" t="s">
        <v>340</v>
      </c>
      <c r="I29" s="11">
        <v>1000</v>
      </c>
      <c r="J29" s="10">
        <v>1000</v>
      </c>
      <c r="K29" s="9"/>
      <c r="L29" s="8">
        <f t="shared" si="0"/>
        <v>0</v>
      </c>
    </row>
    <row r="30" spans="1:12" ht="165.75" customHeight="1" thickBot="1" x14ac:dyDescent="0.3">
      <c r="A30" s="47"/>
      <c r="B30" s="24" t="s">
        <v>40</v>
      </c>
      <c r="C30" s="12" t="s">
        <v>27</v>
      </c>
      <c r="D30" s="12" t="s">
        <v>24</v>
      </c>
      <c r="E30" s="13" t="s">
        <v>111</v>
      </c>
      <c r="F30" s="22" t="s">
        <v>4</v>
      </c>
      <c r="G30" s="13" t="s">
        <v>0</v>
      </c>
      <c r="H30" s="12" t="s">
        <v>340</v>
      </c>
      <c r="I30" s="11">
        <v>1000</v>
      </c>
      <c r="J30" s="10"/>
      <c r="K30" s="9">
        <v>1000</v>
      </c>
      <c r="L30" s="8">
        <f t="shared" si="0"/>
        <v>0</v>
      </c>
    </row>
    <row r="31" spans="1:12" ht="165.75" customHeight="1" thickBot="1" x14ac:dyDescent="0.3">
      <c r="A31" s="47"/>
      <c r="B31" s="24" t="s">
        <v>284</v>
      </c>
      <c r="C31" s="12" t="s">
        <v>113</v>
      </c>
      <c r="D31" s="12" t="s">
        <v>24</v>
      </c>
      <c r="E31" s="13" t="s">
        <v>354</v>
      </c>
      <c r="F31" s="22" t="s">
        <v>4</v>
      </c>
      <c r="G31" s="13" t="s">
        <v>0</v>
      </c>
      <c r="H31" s="12" t="s">
        <v>316</v>
      </c>
      <c r="I31" s="11">
        <v>1743</v>
      </c>
      <c r="J31" s="10"/>
      <c r="K31" s="9">
        <v>1743</v>
      </c>
      <c r="L31" s="8">
        <f t="shared" si="0"/>
        <v>0</v>
      </c>
    </row>
    <row r="32" spans="1:12" ht="165.75" customHeight="1" thickBot="1" x14ac:dyDescent="0.3">
      <c r="A32" s="47"/>
      <c r="B32" s="24" t="s">
        <v>95</v>
      </c>
      <c r="C32" s="12" t="s">
        <v>15</v>
      </c>
      <c r="D32" s="12" t="s">
        <v>24</v>
      </c>
      <c r="E32" s="13" t="s">
        <v>96</v>
      </c>
      <c r="F32" s="22" t="s">
        <v>4</v>
      </c>
      <c r="G32" s="13" t="s">
        <v>0</v>
      </c>
      <c r="H32" s="12" t="s">
        <v>316</v>
      </c>
      <c r="I32" s="11">
        <v>1500</v>
      </c>
      <c r="J32" s="10">
        <v>1500</v>
      </c>
      <c r="K32" s="9"/>
      <c r="L32" s="8">
        <f t="shared" si="0"/>
        <v>0</v>
      </c>
    </row>
    <row r="33" spans="1:12" ht="165.75" customHeight="1" thickBot="1" x14ac:dyDescent="0.3">
      <c r="A33" s="47"/>
      <c r="B33" s="24" t="s">
        <v>32</v>
      </c>
      <c r="C33" s="12" t="s">
        <v>31</v>
      </c>
      <c r="D33" s="12" t="s">
        <v>24</v>
      </c>
      <c r="E33" s="13" t="s">
        <v>78</v>
      </c>
      <c r="F33" s="22" t="s">
        <v>4</v>
      </c>
      <c r="G33" s="13" t="s">
        <v>0</v>
      </c>
      <c r="H33" s="12" t="s">
        <v>340</v>
      </c>
      <c r="I33" s="11">
        <v>2640</v>
      </c>
      <c r="J33" s="10"/>
      <c r="K33" s="9">
        <v>2640</v>
      </c>
      <c r="L33" s="8">
        <f t="shared" si="0"/>
        <v>0</v>
      </c>
    </row>
    <row r="34" spans="1:12" ht="165.75" customHeight="1" thickBot="1" x14ac:dyDescent="0.3">
      <c r="A34" s="47"/>
      <c r="B34" s="24" t="s">
        <v>40</v>
      </c>
      <c r="C34" s="12" t="s">
        <v>27</v>
      </c>
      <c r="D34" s="12" t="s">
        <v>24</v>
      </c>
      <c r="E34" s="13" t="s">
        <v>76</v>
      </c>
      <c r="F34" s="22" t="s">
        <v>4</v>
      </c>
      <c r="G34" s="13" t="s">
        <v>0</v>
      </c>
      <c r="H34" s="12" t="s">
        <v>340</v>
      </c>
      <c r="I34" s="11">
        <v>2020</v>
      </c>
      <c r="J34" s="10"/>
      <c r="K34" s="9">
        <v>2020</v>
      </c>
      <c r="L34" s="8">
        <f t="shared" si="0"/>
        <v>0</v>
      </c>
    </row>
    <row r="35" spans="1:12" ht="165.75" customHeight="1" thickBot="1" x14ac:dyDescent="0.3">
      <c r="A35" s="47"/>
      <c r="B35" s="24" t="s">
        <v>40</v>
      </c>
      <c r="C35" s="12" t="s">
        <v>27</v>
      </c>
      <c r="D35" s="12" t="s">
        <v>24</v>
      </c>
      <c r="E35" s="13" t="s">
        <v>39</v>
      </c>
      <c r="F35" s="22" t="s">
        <v>4</v>
      </c>
      <c r="G35" s="13" t="s">
        <v>0</v>
      </c>
      <c r="H35" s="12" t="s">
        <v>340</v>
      </c>
      <c r="I35" s="11">
        <v>1492</v>
      </c>
      <c r="J35" s="10"/>
      <c r="K35" s="9">
        <v>1492</v>
      </c>
      <c r="L35" s="8">
        <f t="shared" si="0"/>
        <v>0</v>
      </c>
    </row>
    <row r="36" spans="1:12" ht="165.75" customHeight="1" thickBot="1" x14ac:dyDescent="0.3">
      <c r="A36" s="47"/>
      <c r="B36" s="24" t="s">
        <v>284</v>
      </c>
      <c r="C36" s="12" t="s">
        <v>113</v>
      </c>
      <c r="D36" s="12" t="s">
        <v>24</v>
      </c>
      <c r="E36" s="13" t="s">
        <v>354</v>
      </c>
      <c r="F36" s="22" t="s">
        <v>9</v>
      </c>
      <c r="G36" s="13" t="s">
        <v>0</v>
      </c>
      <c r="H36" s="12" t="s">
        <v>340</v>
      </c>
      <c r="I36" s="11">
        <v>2000</v>
      </c>
      <c r="J36" s="10"/>
      <c r="K36" s="9">
        <v>2000</v>
      </c>
      <c r="L36" s="8">
        <f t="shared" si="0"/>
        <v>0</v>
      </c>
    </row>
    <row r="37" spans="1:12" ht="165.75" customHeight="1" thickBot="1" x14ac:dyDescent="0.3">
      <c r="A37" s="47"/>
      <c r="B37" s="24" t="s">
        <v>95</v>
      </c>
      <c r="C37" s="12" t="s">
        <v>15</v>
      </c>
      <c r="D37" s="12" t="s">
        <v>24</v>
      </c>
      <c r="E37" s="13" t="s">
        <v>96</v>
      </c>
      <c r="F37" s="22" t="s">
        <v>4</v>
      </c>
      <c r="G37" s="13" t="s">
        <v>0</v>
      </c>
      <c r="H37" s="12" t="s">
        <v>340</v>
      </c>
      <c r="I37" s="11">
        <v>960</v>
      </c>
      <c r="J37" s="10"/>
      <c r="K37" s="9">
        <v>960</v>
      </c>
      <c r="L37" s="8">
        <f t="shared" si="0"/>
        <v>0</v>
      </c>
    </row>
    <row r="38" spans="1:12" ht="165.75" customHeight="1" thickBot="1" x14ac:dyDescent="0.3">
      <c r="A38" s="47"/>
      <c r="B38" s="24" t="s">
        <v>38</v>
      </c>
      <c r="C38" s="12" t="s">
        <v>27</v>
      </c>
      <c r="D38" s="12" t="s">
        <v>24</v>
      </c>
      <c r="E38" s="13" t="s">
        <v>111</v>
      </c>
      <c r="F38" s="22" t="s">
        <v>4</v>
      </c>
      <c r="G38" s="13" t="s">
        <v>0</v>
      </c>
      <c r="H38" s="12" t="s">
        <v>340</v>
      </c>
      <c r="I38" s="11">
        <v>200</v>
      </c>
      <c r="J38" s="10"/>
      <c r="K38" s="9">
        <v>200</v>
      </c>
      <c r="L38" s="8">
        <f t="shared" si="0"/>
        <v>0</v>
      </c>
    </row>
    <row r="39" spans="1:12" ht="165.75" customHeight="1" thickBot="1" x14ac:dyDescent="0.3">
      <c r="A39" s="47"/>
      <c r="B39" s="24" t="s">
        <v>38</v>
      </c>
      <c r="C39" s="12" t="s">
        <v>27</v>
      </c>
      <c r="D39" s="12" t="s">
        <v>24</v>
      </c>
      <c r="E39" s="13" t="s">
        <v>111</v>
      </c>
      <c r="F39" s="22" t="s">
        <v>4</v>
      </c>
      <c r="G39" s="13" t="s">
        <v>0</v>
      </c>
      <c r="H39" s="12" t="s">
        <v>340</v>
      </c>
      <c r="I39" s="11">
        <v>660</v>
      </c>
      <c r="J39" s="10"/>
      <c r="K39" s="9">
        <v>660</v>
      </c>
      <c r="L39" s="8">
        <f t="shared" si="0"/>
        <v>0</v>
      </c>
    </row>
    <row r="40" spans="1:12" ht="165.75" customHeight="1" thickBot="1" x14ac:dyDescent="0.3">
      <c r="A40" s="47"/>
      <c r="B40" s="24" t="s">
        <v>77</v>
      </c>
      <c r="C40" s="12" t="s">
        <v>27</v>
      </c>
      <c r="D40" s="12" t="s">
        <v>24</v>
      </c>
      <c r="E40" s="13" t="s">
        <v>197</v>
      </c>
      <c r="F40" s="22" t="s">
        <v>4</v>
      </c>
      <c r="G40" s="13" t="s">
        <v>0</v>
      </c>
      <c r="H40" s="12" t="s">
        <v>340</v>
      </c>
      <c r="I40" s="11">
        <v>680</v>
      </c>
      <c r="J40" s="10"/>
      <c r="K40" s="9">
        <v>680</v>
      </c>
      <c r="L40" s="8">
        <f t="shared" si="0"/>
        <v>0</v>
      </c>
    </row>
    <row r="41" spans="1:12" ht="165.75" customHeight="1" thickBot="1" x14ac:dyDescent="0.3">
      <c r="A41" s="47"/>
      <c r="B41" s="24" t="s">
        <v>95</v>
      </c>
      <c r="C41" s="12" t="s">
        <v>15</v>
      </c>
      <c r="D41" s="12" t="s">
        <v>24</v>
      </c>
      <c r="E41" s="13" t="s">
        <v>96</v>
      </c>
      <c r="F41" s="22" t="s">
        <v>4</v>
      </c>
      <c r="G41" s="13" t="s">
        <v>0</v>
      </c>
      <c r="H41" s="12" t="s">
        <v>340</v>
      </c>
      <c r="I41" s="11">
        <v>2000</v>
      </c>
      <c r="J41" s="10">
        <v>1000</v>
      </c>
      <c r="K41" s="9">
        <v>1000</v>
      </c>
      <c r="L41" s="8">
        <f t="shared" si="0"/>
        <v>0</v>
      </c>
    </row>
    <row r="42" spans="1:12" ht="165.75" customHeight="1" thickBot="1" x14ac:dyDescent="0.3">
      <c r="A42" s="47"/>
      <c r="B42" s="24" t="s">
        <v>38</v>
      </c>
      <c r="C42" s="12" t="s">
        <v>27</v>
      </c>
      <c r="D42" s="12" t="s">
        <v>24</v>
      </c>
      <c r="E42" s="13" t="s">
        <v>197</v>
      </c>
      <c r="F42" s="22" t="s">
        <v>4</v>
      </c>
      <c r="G42" s="13" t="s">
        <v>0</v>
      </c>
      <c r="H42" s="12" t="s">
        <v>316</v>
      </c>
      <c r="I42" s="11">
        <v>3000</v>
      </c>
      <c r="J42" s="10">
        <v>1000</v>
      </c>
      <c r="K42" s="9">
        <v>2000</v>
      </c>
      <c r="L42" s="8">
        <f t="shared" si="0"/>
        <v>0</v>
      </c>
    </row>
    <row r="43" spans="1:12" ht="165.75" customHeight="1" thickBot="1" x14ac:dyDescent="0.3">
      <c r="A43" s="47"/>
      <c r="B43" s="24" t="s">
        <v>77</v>
      </c>
      <c r="C43" s="12" t="s">
        <v>27</v>
      </c>
      <c r="D43" s="12" t="s">
        <v>24</v>
      </c>
      <c r="E43" s="13" t="s">
        <v>76</v>
      </c>
      <c r="F43" s="22" t="s">
        <v>4</v>
      </c>
      <c r="G43" s="13" t="s">
        <v>0</v>
      </c>
      <c r="H43" s="12" t="s">
        <v>316</v>
      </c>
      <c r="I43" s="11">
        <v>1000</v>
      </c>
      <c r="J43" s="10">
        <v>1000</v>
      </c>
      <c r="K43" s="9"/>
      <c r="L43" s="8">
        <f t="shared" si="0"/>
        <v>0</v>
      </c>
    </row>
    <row r="44" spans="1:12" ht="165.75" customHeight="1" thickBot="1" x14ac:dyDescent="0.3">
      <c r="A44" s="47"/>
      <c r="B44" s="24" t="s">
        <v>77</v>
      </c>
      <c r="C44" s="12" t="s">
        <v>27</v>
      </c>
      <c r="D44" s="12" t="s">
        <v>24</v>
      </c>
      <c r="E44" s="13" t="s">
        <v>39</v>
      </c>
      <c r="F44" s="22" t="s">
        <v>4</v>
      </c>
      <c r="G44" s="13" t="s">
        <v>0</v>
      </c>
      <c r="H44" s="12" t="s">
        <v>316</v>
      </c>
      <c r="I44" s="11">
        <v>1000</v>
      </c>
      <c r="J44" s="10"/>
      <c r="K44" s="9">
        <v>1000</v>
      </c>
      <c r="L44" s="8">
        <f t="shared" si="0"/>
        <v>0</v>
      </c>
    </row>
    <row r="45" spans="1:12" ht="165.75" customHeight="1" thickBot="1" x14ac:dyDescent="0.3">
      <c r="A45" s="48"/>
      <c r="B45" s="24" t="s">
        <v>112</v>
      </c>
      <c r="C45" s="12" t="s">
        <v>113</v>
      </c>
      <c r="D45" s="12" t="s">
        <v>24</v>
      </c>
      <c r="E45" s="13" t="s">
        <v>341</v>
      </c>
      <c r="F45" s="22" t="s">
        <v>4</v>
      </c>
      <c r="G45" s="13" t="s">
        <v>0</v>
      </c>
      <c r="H45" s="12" t="s">
        <v>316</v>
      </c>
      <c r="I45" s="11">
        <v>260</v>
      </c>
      <c r="J45" s="10">
        <v>260</v>
      </c>
      <c r="K45" s="9"/>
      <c r="L45" s="8">
        <f t="shared" si="0"/>
        <v>0</v>
      </c>
    </row>
    <row r="46" spans="1:12" ht="165.75" customHeight="1" thickBot="1" x14ac:dyDescent="0.3">
      <c r="A46" s="46" t="s">
        <v>23</v>
      </c>
      <c r="B46" s="24" t="s">
        <v>223</v>
      </c>
      <c r="C46" s="12" t="s">
        <v>17</v>
      </c>
      <c r="D46" s="12" t="s">
        <v>311</v>
      </c>
      <c r="E46" s="13" t="s">
        <v>312</v>
      </c>
      <c r="F46" s="22" t="s">
        <v>122</v>
      </c>
      <c r="G46" s="13" t="s">
        <v>0</v>
      </c>
      <c r="H46" s="12" t="s">
        <v>340</v>
      </c>
      <c r="I46" s="11">
        <v>2500</v>
      </c>
      <c r="J46" s="10">
        <v>1000</v>
      </c>
      <c r="K46" s="9">
        <v>1500</v>
      </c>
      <c r="L46" s="8">
        <f t="shared" si="0"/>
        <v>0</v>
      </c>
    </row>
    <row r="47" spans="1:12" ht="165.75" customHeight="1" thickBot="1" x14ac:dyDescent="0.3">
      <c r="A47" s="47"/>
      <c r="B47" s="24" t="s">
        <v>12</v>
      </c>
      <c r="C47" s="12" t="s">
        <v>6</v>
      </c>
      <c r="D47" s="12" t="s">
        <v>20</v>
      </c>
      <c r="E47" s="13" t="s">
        <v>22</v>
      </c>
      <c r="F47" s="22" t="s">
        <v>4</v>
      </c>
      <c r="G47" s="13" t="s">
        <v>0</v>
      </c>
      <c r="H47" s="12" t="s">
        <v>340</v>
      </c>
      <c r="I47" s="11">
        <v>3000</v>
      </c>
      <c r="J47" s="10"/>
      <c r="K47" s="9">
        <v>3000</v>
      </c>
      <c r="L47" s="8">
        <f t="shared" si="0"/>
        <v>0</v>
      </c>
    </row>
    <row r="48" spans="1:12" ht="165.75" customHeight="1" thickBot="1" x14ac:dyDescent="0.3">
      <c r="A48" s="47"/>
      <c r="B48" s="24" t="s">
        <v>21</v>
      </c>
      <c r="C48" s="12" t="s">
        <v>118</v>
      </c>
      <c r="D48" s="12" t="s">
        <v>20</v>
      </c>
      <c r="E48" s="13" t="s">
        <v>222</v>
      </c>
      <c r="F48" s="22" t="s">
        <v>4</v>
      </c>
      <c r="G48" s="13" t="s">
        <v>0</v>
      </c>
      <c r="H48" s="12" t="s">
        <v>340</v>
      </c>
      <c r="I48" s="11">
        <v>2000</v>
      </c>
      <c r="J48" s="10"/>
      <c r="K48" s="9">
        <v>2000</v>
      </c>
      <c r="L48" s="8">
        <f t="shared" si="0"/>
        <v>0</v>
      </c>
    </row>
    <row r="49" spans="1:12" ht="165.75" customHeight="1" thickBot="1" x14ac:dyDescent="0.3">
      <c r="A49" s="47"/>
      <c r="B49" s="24" t="s">
        <v>21</v>
      </c>
      <c r="C49" s="12" t="s">
        <v>118</v>
      </c>
      <c r="D49" s="12" t="s">
        <v>20</v>
      </c>
      <c r="E49" s="13" t="s">
        <v>222</v>
      </c>
      <c r="F49" s="22" t="s">
        <v>4</v>
      </c>
      <c r="G49" s="13" t="s">
        <v>0</v>
      </c>
      <c r="H49" s="12" t="s">
        <v>316</v>
      </c>
      <c r="I49" s="11">
        <v>1000</v>
      </c>
      <c r="J49" s="10">
        <v>1000</v>
      </c>
      <c r="K49" s="9"/>
      <c r="L49" s="8">
        <f t="shared" si="0"/>
        <v>0</v>
      </c>
    </row>
    <row r="50" spans="1:12" ht="165.75" customHeight="1" thickBot="1" x14ac:dyDescent="0.3">
      <c r="A50" s="47"/>
      <c r="B50" s="24" t="s">
        <v>21</v>
      </c>
      <c r="C50" s="12" t="s">
        <v>118</v>
      </c>
      <c r="D50" s="12" t="s">
        <v>20</v>
      </c>
      <c r="E50" s="13" t="s">
        <v>119</v>
      </c>
      <c r="F50" s="22" t="s">
        <v>4</v>
      </c>
      <c r="G50" s="13" t="s">
        <v>0</v>
      </c>
      <c r="H50" s="12" t="s">
        <v>316</v>
      </c>
      <c r="I50" s="11">
        <v>665</v>
      </c>
      <c r="J50" s="10"/>
      <c r="K50" s="9">
        <v>665</v>
      </c>
      <c r="L50" s="8">
        <f t="shared" si="0"/>
        <v>0</v>
      </c>
    </row>
    <row r="51" spans="1:12" ht="165.75" customHeight="1" thickBot="1" x14ac:dyDescent="0.3">
      <c r="A51" s="47"/>
      <c r="B51" s="24" t="s">
        <v>21</v>
      </c>
      <c r="C51" s="12" t="s">
        <v>118</v>
      </c>
      <c r="D51" s="12" t="s">
        <v>20</v>
      </c>
      <c r="E51" s="13" t="s">
        <v>222</v>
      </c>
      <c r="F51" s="22" t="s">
        <v>4</v>
      </c>
      <c r="G51" s="13" t="s">
        <v>0</v>
      </c>
      <c r="H51" s="12" t="s">
        <v>340</v>
      </c>
      <c r="I51" s="11">
        <v>2000</v>
      </c>
      <c r="J51" s="10"/>
      <c r="K51" s="9">
        <v>2000</v>
      </c>
      <c r="L51" s="8">
        <f t="shared" si="0"/>
        <v>0</v>
      </c>
    </row>
    <row r="52" spans="1:12" ht="165.75" customHeight="1" thickBot="1" x14ac:dyDescent="0.3">
      <c r="A52" s="47"/>
      <c r="B52" s="24" t="s">
        <v>21</v>
      </c>
      <c r="C52" s="12" t="s">
        <v>118</v>
      </c>
      <c r="D52" s="12" t="s">
        <v>20</v>
      </c>
      <c r="E52" s="13" t="s">
        <v>119</v>
      </c>
      <c r="F52" s="22" t="s">
        <v>4</v>
      </c>
      <c r="G52" s="13" t="s">
        <v>0</v>
      </c>
      <c r="H52" s="12" t="s">
        <v>340</v>
      </c>
      <c r="I52" s="11">
        <v>2000</v>
      </c>
      <c r="J52" s="10"/>
      <c r="K52" s="9">
        <v>2000</v>
      </c>
      <c r="L52" s="8">
        <f t="shared" si="0"/>
        <v>0</v>
      </c>
    </row>
    <row r="53" spans="1:12" ht="165.75" customHeight="1" thickBot="1" x14ac:dyDescent="0.3">
      <c r="A53" s="48"/>
      <c r="B53" s="24" t="s">
        <v>21</v>
      </c>
      <c r="C53" s="12" t="s">
        <v>3</v>
      </c>
      <c r="D53" s="12" t="s">
        <v>20</v>
      </c>
      <c r="E53" s="13" t="s">
        <v>56</v>
      </c>
      <c r="F53" s="22" t="s">
        <v>9</v>
      </c>
      <c r="G53" s="13" t="s">
        <v>0</v>
      </c>
      <c r="H53" s="12" t="s">
        <v>340</v>
      </c>
      <c r="I53" s="11">
        <v>13000</v>
      </c>
      <c r="J53" s="10"/>
      <c r="K53" s="9">
        <v>13000</v>
      </c>
      <c r="L53" s="8">
        <f t="shared" si="0"/>
        <v>0</v>
      </c>
    </row>
    <row r="54" spans="1:12" ht="165.75" customHeight="1" thickBot="1" x14ac:dyDescent="0.3">
      <c r="A54" s="46" t="s">
        <v>19</v>
      </c>
      <c r="B54" s="24" t="s">
        <v>12</v>
      </c>
      <c r="C54" s="12" t="s">
        <v>105</v>
      </c>
      <c r="D54" s="12" t="s">
        <v>120</v>
      </c>
      <c r="E54" s="13" t="s">
        <v>217</v>
      </c>
      <c r="F54" s="22" t="s">
        <v>122</v>
      </c>
      <c r="G54" s="13" t="s">
        <v>0</v>
      </c>
      <c r="H54" s="12" t="s">
        <v>340</v>
      </c>
      <c r="I54" s="11">
        <v>1000</v>
      </c>
      <c r="J54" s="10">
        <v>500</v>
      </c>
      <c r="K54" s="9">
        <v>500</v>
      </c>
      <c r="L54" s="8">
        <f t="shared" si="0"/>
        <v>0</v>
      </c>
    </row>
    <row r="55" spans="1:12" ht="165.75" customHeight="1" thickBot="1" x14ac:dyDescent="0.3">
      <c r="A55" s="47"/>
      <c r="B55" s="24" t="s">
        <v>7</v>
      </c>
      <c r="C55" s="12" t="s">
        <v>17</v>
      </c>
      <c r="D55" s="12" t="s">
        <v>120</v>
      </c>
      <c r="E55" s="13" t="s">
        <v>121</v>
      </c>
      <c r="F55" s="22" t="s">
        <v>122</v>
      </c>
      <c r="G55" s="13" t="s">
        <v>0</v>
      </c>
      <c r="H55" s="12" t="s">
        <v>340</v>
      </c>
      <c r="I55" s="11">
        <v>1000</v>
      </c>
      <c r="J55" s="10">
        <v>500</v>
      </c>
      <c r="K55" s="9">
        <v>500</v>
      </c>
      <c r="L55" s="8">
        <f t="shared" si="0"/>
        <v>0</v>
      </c>
    </row>
    <row r="56" spans="1:12" ht="165.75" customHeight="1" thickBot="1" x14ac:dyDescent="0.3">
      <c r="A56" s="47"/>
      <c r="B56" s="24" t="s">
        <v>7</v>
      </c>
      <c r="C56" s="12" t="s">
        <v>15</v>
      </c>
      <c r="D56" s="12" t="s">
        <v>14</v>
      </c>
      <c r="E56" s="13" t="s">
        <v>58</v>
      </c>
      <c r="F56" s="22" t="s">
        <v>4</v>
      </c>
      <c r="G56" s="13" t="s">
        <v>0</v>
      </c>
      <c r="H56" s="12" t="s">
        <v>340</v>
      </c>
      <c r="I56" s="11">
        <v>2000</v>
      </c>
      <c r="J56" s="10">
        <v>1000</v>
      </c>
      <c r="K56" s="9">
        <v>1000</v>
      </c>
      <c r="L56" s="8">
        <f t="shared" si="0"/>
        <v>0</v>
      </c>
    </row>
    <row r="57" spans="1:12" ht="165.75" customHeight="1" thickBot="1" x14ac:dyDescent="0.3">
      <c r="A57" s="47"/>
      <c r="B57" s="24" t="s">
        <v>7</v>
      </c>
      <c r="C57" s="12" t="s">
        <v>15</v>
      </c>
      <c r="D57" s="12" t="s">
        <v>14</v>
      </c>
      <c r="E57" s="13" t="s">
        <v>13</v>
      </c>
      <c r="F57" s="22" t="s">
        <v>4</v>
      </c>
      <c r="G57" s="13" t="s">
        <v>0</v>
      </c>
      <c r="H57" s="12" t="s">
        <v>340</v>
      </c>
      <c r="I57" s="11">
        <v>2000</v>
      </c>
      <c r="J57" s="10">
        <v>500</v>
      </c>
      <c r="K57" s="9">
        <v>1500</v>
      </c>
      <c r="L57" s="8">
        <f t="shared" si="0"/>
        <v>0</v>
      </c>
    </row>
    <row r="58" spans="1:12" ht="165.75" customHeight="1" thickBot="1" x14ac:dyDescent="0.3">
      <c r="A58" s="47"/>
      <c r="B58" s="24" t="s">
        <v>21</v>
      </c>
      <c r="C58" s="12" t="s">
        <v>105</v>
      </c>
      <c r="D58" s="12" t="s">
        <v>14</v>
      </c>
      <c r="E58" s="13" t="s">
        <v>357</v>
      </c>
      <c r="F58" s="22" t="s">
        <v>9</v>
      </c>
      <c r="G58" s="13" t="s">
        <v>0</v>
      </c>
      <c r="H58" s="12" t="s">
        <v>340</v>
      </c>
      <c r="I58" s="11">
        <v>450</v>
      </c>
      <c r="J58" s="10"/>
      <c r="K58" s="9">
        <v>450</v>
      </c>
      <c r="L58" s="8">
        <f t="shared" si="0"/>
        <v>0</v>
      </c>
    </row>
    <row r="59" spans="1:12" ht="165.75" customHeight="1" thickBot="1" x14ac:dyDescent="0.3">
      <c r="A59" s="47"/>
      <c r="B59" s="24" t="s">
        <v>7</v>
      </c>
      <c r="C59" s="12" t="s">
        <v>15</v>
      </c>
      <c r="D59" s="12" t="s">
        <v>14</v>
      </c>
      <c r="E59" s="13" t="s">
        <v>58</v>
      </c>
      <c r="F59" s="22" t="s">
        <v>4</v>
      </c>
      <c r="G59" s="13" t="s">
        <v>0</v>
      </c>
      <c r="H59" s="12" t="s">
        <v>340</v>
      </c>
      <c r="I59" s="11">
        <v>1410</v>
      </c>
      <c r="J59" s="10"/>
      <c r="K59" s="9">
        <v>1410</v>
      </c>
      <c r="L59" s="8">
        <f t="shared" si="0"/>
        <v>0</v>
      </c>
    </row>
    <row r="60" spans="1:12" ht="165.75" customHeight="1" thickBot="1" x14ac:dyDescent="0.3">
      <c r="A60" s="47"/>
      <c r="B60" s="24" t="s">
        <v>12</v>
      </c>
      <c r="C60" s="12" t="s">
        <v>118</v>
      </c>
      <c r="D60" s="12" t="s">
        <v>123</v>
      </c>
      <c r="E60" s="13" t="s">
        <v>124</v>
      </c>
      <c r="F60" s="22" t="s">
        <v>4</v>
      </c>
      <c r="G60" s="13" t="s">
        <v>0</v>
      </c>
      <c r="H60" s="12" t="s">
        <v>340</v>
      </c>
      <c r="I60" s="11">
        <v>1088</v>
      </c>
      <c r="J60" s="10"/>
      <c r="K60" s="9">
        <v>1088</v>
      </c>
      <c r="L60" s="8">
        <f t="shared" si="0"/>
        <v>0</v>
      </c>
    </row>
    <row r="61" spans="1:12" ht="165.75" customHeight="1" thickBot="1" x14ac:dyDescent="0.3">
      <c r="A61" s="47"/>
      <c r="B61" s="24" t="s">
        <v>12</v>
      </c>
      <c r="C61" s="12" t="s">
        <v>3</v>
      </c>
      <c r="D61" s="12" t="s">
        <v>11</v>
      </c>
      <c r="E61" s="13" t="s">
        <v>10</v>
      </c>
      <c r="F61" s="22" t="s">
        <v>4</v>
      </c>
      <c r="G61" s="13" t="s">
        <v>0</v>
      </c>
      <c r="H61" s="12" t="s">
        <v>340</v>
      </c>
      <c r="I61" s="11">
        <v>4500</v>
      </c>
      <c r="J61" s="10"/>
      <c r="K61" s="9">
        <v>4500</v>
      </c>
      <c r="L61" s="8">
        <f t="shared" si="0"/>
        <v>0</v>
      </c>
    </row>
    <row r="62" spans="1:12" ht="165.75" customHeight="1" thickBot="1" x14ac:dyDescent="0.3">
      <c r="A62" s="47"/>
      <c r="B62" s="24" t="s">
        <v>12</v>
      </c>
      <c r="C62" s="12" t="s">
        <v>118</v>
      </c>
      <c r="D62" s="12" t="s">
        <v>123</v>
      </c>
      <c r="E62" s="13" t="s">
        <v>124</v>
      </c>
      <c r="F62" s="22" t="s">
        <v>4</v>
      </c>
      <c r="G62" s="13" t="s">
        <v>0</v>
      </c>
      <c r="H62" s="12" t="s">
        <v>340</v>
      </c>
      <c r="I62" s="11">
        <v>4000</v>
      </c>
      <c r="J62" s="10">
        <v>2000</v>
      </c>
      <c r="K62" s="9">
        <v>2000</v>
      </c>
      <c r="L62" s="8">
        <f t="shared" si="0"/>
        <v>0</v>
      </c>
    </row>
    <row r="63" spans="1:12" ht="165.75" customHeight="1" thickBot="1" x14ac:dyDescent="0.3">
      <c r="A63" s="47"/>
      <c r="B63" s="24" t="s">
        <v>12</v>
      </c>
      <c r="C63" s="12" t="s">
        <v>3</v>
      </c>
      <c r="D63" s="12" t="s">
        <v>11</v>
      </c>
      <c r="E63" s="13" t="s">
        <v>10</v>
      </c>
      <c r="F63" s="22" t="s">
        <v>9</v>
      </c>
      <c r="G63" s="13" t="s">
        <v>0</v>
      </c>
      <c r="H63" s="12" t="s">
        <v>340</v>
      </c>
      <c r="I63" s="11">
        <v>12000</v>
      </c>
      <c r="J63" s="10">
        <v>2000</v>
      </c>
      <c r="K63" s="9">
        <v>10000</v>
      </c>
      <c r="L63" s="8">
        <f t="shared" si="0"/>
        <v>0</v>
      </c>
    </row>
    <row r="64" spans="1:12" ht="165.75" customHeight="1" thickBot="1" x14ac:dyDescent="0.3">
      <c r="A64" s="47"/>
      <c r="B64" s="24" t="s">
        <v>7</v>
      </c>
      <c r="C64" s="12" t="s">
        <v>6</v>
      </c>
      <c r="D64" s="12" t="s">
        <v>1</v>
      </c>
      <c r="E64" s="13" t="s">
        <v>5</v>
      </c>
      <c r="F64" s="22" t="s">
        <v>4</v>
      </c>
      <c r="G64" s="13" t="s">
        <v>0</v>
      </c>
      <c r="H64" s="12" t="s">
        <v>340</v>
      </c>
      <c r="I64" s="11">
        <v>5000</v>
      </c>
      <c r="J64" s="10">
        <v>1000</v>
      </c>
      <c r="K64" s="9">
        <v>4000</v>
      </c>
      <c r="L64" s="8">
        <f t="shared" si="0"/>
        <v>0</v>
      </c>
    </row>
    <row r="65" spans="1:12" ht="165.75" customHeight="1" thickBot="1" x14ac:dyDescent="0.3">
      <c r="A65" s="47"/>
      <c r="B65" s="24" t="s">
        <v>194</v>
      </c>
      <c r="C65" s="12" t="s">
        <v>3</v>
      </c>
      <c r="D65" s="12" t="s">
        <v>1</v>
      </c>
      <c r="E65" s="13" t="s">
        <v>195</v>
      </c>
      <c r="F65" s="22" t="s">
        <v>122</v>
      </c>
      <c r="G65" s="13" t="s">
        <v>0</v>
      </c>
      <c r="H65" s="12" t="s">
        <v>356</v>
      </c>
      <c r="I65" s="11">
        <v>5000</v>
      </c>
      <c r="J65" s="10">
        <v>2000</v>
      </c>
      <c r="K65" s="9">
        <v>3000</v>
      </c>
      <c r="L65" s="8">
        <f t="shared" si="0"/>
        <v>0</v>
      </c>
    </row>
    <row r="66" spans="1:12" ht="165.75" customHeight="1" thickBot="1" x14ac:dyDescent="0.3">
      <c r="A66" s="48"/>
      <c r="B66" s="24" t="s">
        <v>194</v>
      </c>
      <c r="C66" s="12" t="s">
        <v>118</v>
      </c>
      <c r="D66" s="12" t="s">
        <v>1</v>
      </c>
      <c r="E66" s="13" t="s">
        <v>216</v>
      </c>
      <c r="F66" s="22" t="s">
        <v>122</v>
      </c>
      <c r="G66" s="13" t="s">
        <v>0</v>
      </c>
      <c r="H66" s="12" t="s">
        <v>340</v>
      </c>
      <c r="I66" s="11">
        <v>5000</v>
      </c>
      <c r="J66" s="10"/>
      <c r="K66" s="9">
        <v>5000</v>
      </c>
      <c r="L66" s="8">
        <f t="shared" si="0"/>
        <v>0</v>
      </c>
    </row>
  </sheetData>
  <autoFilter ref="A2:L66"/>
  <dataConsolidate/>
  <mergeCells count="5">
    <mergeCell ref="A54:A66"/>
    <mergeCell ref="A1:L1"/>
    <mergeCell ref="A3:A26"/>
    <mergeCell ref="A27:A45"/>
    <mergeCell ref="A46:A53"/>
  </mergeCells>
  <conditionalFormatting sqref="I2:I24 K3:L24">
    <cfRule type="cellIs" dxfId="72" priority="3" operator="lessThan">
      <formula>0</formula>
    </cfRule>
  </conditionalFormatting>
  <conditionalFormatting sqref="L2">
    <cfRule type="cellIs" dxfId="71" priority="2" operator="lessThan">
      <formula>0</formula>
    </cfRule>
  </conditionalFormatting>
  <conditionalFormatting sqref="I25:I66 K25:L66">
    <cfRule type="cellIs" dxfId="70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0"/>
  <sheetViews>
    <sheetView showGridLines="0" view="pageBreakPreview" zoomScale="20" zoomScaleNormal="15" zoomScaleSheetLayoutView="20" workbookViewId="0">
      <selection activeCell="J5" sqref="J5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360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50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340</v>
      </c>
      <c r="I3" s="11">
        <v>7000</v>
      </c>
      <c r="J3" s="10">
        <v>1000</v>
      </c>
      <c r="K3" s="9"/>
      <c r="L3" s="8">
        <f t="shared" ref="L3:L40" si="0">K3+J3-I3</f>
        <v>-6000</v>
      </c>
    </row>
    <row r="4" spans="1:12" ht="162" customHeight="1" thickBot="1" x14ac:dyDescent="0.3">
      <c r="A4" s="50"/>
      <c r="B4" s="13" t="s">
        <v>40</v>
      </c>
      <c r="C4" s="12" t="s">
        <v>163</v>
      </c>
      <c r="D4" s="12" t="s">
        <v>126</v>
      </c>
      <c r="E4" s="13" t="s">
        <v>361</v>
      </c>
      <c r="F4" s="22" t="s">
        <v>131</v>
      </c>
      <c r="G4" s="13" t="s">
        <v>37</v>
      </c>
      <c r="H4" s="12" t="s">
        <v>340</v>
      </c>
      <c r="I4" s="11">
        <v>1473</v>
      </c>
      <c r="J4" s="10">
        <v>1000</v>
      </c>
      <c r="K4" s="9"/>
      <c r="L4" s="8">
        <f t="shared" si="0"/>
        <v>-473</v>
      </c>
    </row>
    <row r="5" spans="1:12" ht="162" customHeight="1" thickBot="1" x14ac:dyDescent="0.3">
      <c r="A5" s="50"/>
      <c r="B5" s="13" t="s">
        <v>136</v>
      </c>
      <c r="C5" s="12" t="s">
        <v>118</v>
      </c>
      <c r="D5" s="12" t="s">
        <v>126</v>
      </c>
      <c r="E5" s="13" t="s">
        <v>221</v>
      </c>
      <c r="F5" s="22" t="s">
        <v>122</v>
      </c>
      <c r="G5" s="13" t="s">
        <v>0</v>
      </c>
      <c r="H5" s="12" t="s">
        <v>356</v>
      </c>
      <c r="I5" s="11">
        <v>5000</v>
      </c>
      <c r="J5" s="10">
        <v>2000</v>
      </c>
      <c r="K5" s="9"/>
      <c r="L5" s="8">
        <f t="shared" si="0"/>
        <v>-3000</v>
      </c>
    </row>
    <row r="6" spans="1:12" ht="162" customHeight="1" thickBot="1" x14ac:dyDescent="0.3">
      <c r="A6" s="50"/>
      <c r="B6" s="13" t="s">
        <v>95</v>
      </c>
      <c r="C6" s="12" t="s">
        <v>15</v>
      </c>
      <c r="D6" s="12" t="s">
        <v>24</v>
      </c>
      <c r="E6" s="13" t="s">
        <v>362</v>
      </c>
      <c r="F6" s="22" t="s">
        <v>4</v>
      </c>
      <c r="G6" s="13" t="s">
        <v>0</v>
      </c>
      <c r="H6" s="12" t="s">
        <v>340</v>
      </c>
      <c r="I6" s="11">
        <v>710</v>
      </c>
      <c r="J6" s="10"/>
      <c r="K6" s="9"/>
      <c r="L6" s="8">
        <f t="shared" si="0"/>
        <v>-710</v>
      </c>
    </row>
    <row r="7" spans="1:12" ht="162" customHeight="1" thickBot="1" x14ac:dyDescent="0.3">
      <c r="A7" s="50"/>
      <c r="B7" s="13" t="s">
        <v>95</v>
      </c>
      <c r="C7" s="12" t="s">
        <v>15</v>
      </c>
      <c r="D7" s="12" t="s">
        <v>24</v>
      </c>
      <c r="E7" s="13" t="s">
        <v>96</v>
      </c>
      <c r="F7" s="22" t="s">
        <v>4</v>
      </c>
      <c r="G7" s="13" t="s">
        <v>0</v>
      </c>
      <c r="H7" s="12" t="s">
        <v>340</v>
      </c>
      <c r="I7" s="11">
        <v>1460</v>
      </c>
      <c r="J7" s="10"/>
      <c r="K7" s="9"/>
      <c r="L7" s="8">
        <f t="shared" si="0"/>
        <v>-1460</v>
      </c>
    </row>
    <row r="8" spans="1:12" ht="162" customHeight="1" thickBot="1" x14ac:dyDescent="0.3">
      <c r="A8" s="50"/>
      <c r="B8" s="13" t="s">
        <v>77</v>
      </c>
      <c r="C8" s="12" t="s">
        <v>27</v>
      </c>
      <c r="D8" s="12" t="s">
        <v>24</v>
      </c>
      <c r="E8" s="13" t="s">
        <v>197</v>
      </c>
      <c r="F8" s="22" t="s">
        <v>4</v>
      </c>
      <c r="G8" s="13" t="s">
        <v>8</v>
      </c>
      <c r="H8" s="12" t="s">
        <v>340</v>
      </c>
      <c r="I8" s="11">
        <v>50</v>
      </c>
      <c r="J8" s="10"/>
      <c r="K8" s="9"/>
      <c r="L8" s="8">
        <f t="shared" si="0"/>
        <v>-50</v>
      </c>
    </row>
    <row r="9" spans="1:12" ht="162" customHeight="1" thickBot="1" x14ac:dyDescent="0.3">
      <c r="A9" s="50"/>
      <c r="B9" s="13" t="s">
        <v>77</v>
      </c>
      <c r="C9" s="12" t="s">
        <v>27</v>
      </c>
      <c r="D9" s="12" t="s">
        <v>24</v>
      </c>
      <c r="E9" s="13" t="s">
        <v>197</v>
      </c>
      <c r="F9" s="22" t="s">
        <v>4</v>
      </c>
      <c r="G9" s="13" t="s">
        <v>0</v>
      </c>
      <c r="H9" s="12" t="s">
        <v>340</v>
      </c>
      <c r="I9" s="11">
        <v>1570</v>
      </c>
      <c r="J9" s="10"/>
      <c r="K9" s="9"/>
      <c r="L9" s="8">
        <f t="shared" si="0"/>
        <v>-1570</v>
      </c>
    </row>
    <row r="10" spans="1:12" ht="162" customHeight="1" thickBot="1" x14ac:dyDescent="0.3">
      <c r="A10" s="50"/>
      <c r="B10" s="13" t="s">
        <v>77</v>
      </c>
      <c r="C10" s="12" t="s">
        <v>27</v>
      </c>
      <c r="D10" s="12" t="s">
        <v>24</v>
      </c>
      <c r="E10" s="13" t="s">
        <v>111</v>
      </c>
      <c r="F10" s="22" t="s">
        <v>4</v>
      </c>
      <c r="G10" s="13" t="s">
        <v>8</v>
      </c>
      <c r="H10" s="12" t="s">
        <v>340</v>
      </c>
      <c r="I10" s="11">
        <v>200</v>
      </c>
      <c r="J10" s="10"/>
      <c r="K10" s="9"/>
      <c r="L10" s="8">
        <f t="shared" si="0"/>
        <v>-200</v>
      </c>
    </row>
    <row r="11" spans="1:12" ht="162" customHeight="1" thickBot="1" x14ac:dyDescent="0.3">
      <c r="A11" s="50"/>
      <c r="B11" s="24" t="s">
        <v>77</v>
      </c>
      <c r="C11" s="12" t="s">
        <v>27</v>
      </c>
      <c r="D11" s="12" t="s">
        <v>24</v>
      </c>
      <c r="E11" s="13" t="s">
        <v>111</v>
      </c>
      <c r="F11" s="22" t="s">
        <v>4</v>
      </c>
      <c r="G11" s="13" t="s">
        <v>0</v>
      </c>
      <c r="H11" s="12" t="s">
        <v>340</v>
      </c>
      <c r="I11" s="11">
        <v>2000</v>
      </c>
      <c r="J11" s="10"/>
      <c r="K11" s="9"/>
      <c r="L11" s="8">
        <f t="shared" si="0"/>
        <v>-2000</v>
      </c>
    </row>
    <row r="12" spans="1:12" ht="162" customHeight="1" thickBot="1" x14ac:dyDescent="0.3">
      <c r="A12" s="50"/>
      <c r="B12" s="24" t="s">
        <v>77</v>
      </c>
      <c r="C12" s="12" t="s">
        <v>27</v>
      </c>
      <c r="D12" s="12" t="s">
        <v>24</v>
      </c>
      <c r="E12" s="13" t="s">
        <v>39</v>
      </c>
      <c r="F12" s="22" t="s">
        <v>4</v>
      </c>
      <c r="G12" s="13" t="s">
        <v>0</v>
      </c>
      <c r="H12" s="12" t="s">
        <v>340</v>
      </c>
      <c r="I12" s="11">
        <v>1492</v>
      </c>
      <c r="J12" s="10"/>
      <c r="K12" s="9"/>
      <c r="L12" s="8">
        <f t="shared" si="0"/>
        <v>-1492</v>
      </c>
    </row>
    <row r="13" spans="1:12" ht="162" customHeight="1" thickBot="1" x14ac:dyDescent="0.3">
      <c r="A13" s="50"/>
      <c r="B13" s="24" t="s">
        <v>29</v>
      </c>
      <c r="C13" s="12" t="s">
        <v>125</v>
      </c>
      <c r="D13" s="12" t="s">
        <v>24</v>
      </c>
      <c r="E13" s="37" t="s">
        <v>310</v>
      </c>
      <c r="F13" s="22" t="s">
        <v>131</v>
      </c>
      <c r="G13" s="13" t="s">
        <v>37</v>
      </c>
      <c r="H13" s="12" t="s">
        <v>340</v>
      </c>
      <c r="I13" s="11">
        <v>695</v>
      </c>
      <c r="J13" s="10"/>
      <c r="K13" s="9"/>
      <c r="L13" s="8">
        <f t="shared" si="0"/>
        <v>-695</v>
      </c>
    </row>
    <row r="14" spans="1:12" ht="162" customHeight="1" thickBot="1" x14ac:dyDescent="0.3">
      <c r="A14" s="50"/>
      <c r="B14" s="24" t="s">
        <v>32</v>
      </c>
      <c r="C14" s="12" t="s">
        <v>31</v>
      </c>
      <c r="D14" s="22" t="s">
        <v>24</v>
      </c>
      <c r="E14" s="13" t="s">
        <v>355</v>
      </c>
      <c r="F14" s="22" t="s">
        <v>4</v>
      </c>
      <c r="G14" s="13" t="s">
        <v>0</v>
      </c>
      <c r="H14" s="12" t="s">
        <v>340</v>
      </c>
      <c r="I14" s="11">
        <v>1024</v>
      </c>
      <c r="J14" s="10"/>
      <c r="K14" s="9"/>
      <c r="L14" s="8">
        <f t="shared" si="0"/>
        <v>-1024</v>
      </c>
    </row>
    <row r="15" spans="1:12" ht="162" customHeight="1" thickBot="1" x14ac:dyDescent="0.3">
      <c r="A15" s="50"/>
      <c r="B15" s="24" t="s">
        <v>32</v>
      </c>
      <c r="C15" s="12" t="s">
        <v>31</v>
      </c>
      <c r="D15" s="22" t="s">
        <v>24</v>
      </c>
      <c r="E15" s="13" t="s">
        <v>78</v>
      </c>
      <c r="F15" s="22" t="s">
        <v>4</v>
      </c>
      <c r="G15" s="13" t="s">
        <v>0</v>
      </c>
      <c r="H15" s="12" t="s">
        <v>340</v>
      </c>
      <c r="I15" s="11">
        <v>1640</v>
      </c>
      <c r="J15" s="10"/>
      <c r="K15" s="9"/>
      <c r="L15" s="8">
        <f t="shared" si="0"/>
        <v>-1640</v>
      </c>
    </row>
    <row r="16" spans="1:12" ht="162" customHeight="1" thickBot="1" x14ac:dyDescent="0.3">
      <c r="A16" s="50" t="s">
        <v>36</v>
      </c>
      <c r="B16" s="24" t="s">
        <v>61</v>
      </c>
      <c r="C16" s="12" t="s">
        <v>31</v>
      </c>
      <c r="D16" s="12" t="s">
        <v>24</v>
      </c>
      <c r="E16" s="13" t="s">
        <v>116</v>
      </c>
      <c r="F16" s="22" t="s">
        <v>9</v>
      </c>
      <c r="G16" s="13" t="s">
        <v>0</v>
      </c>
      <c r="H16" s="12" t="s">
        <v>340</v>
      </c>
      <c r="I16" s="11">
        <v>1000</v>
      </c>
      <c r="J16" s="10"/>
      <c r="K16" s="9"/>
      <c r="L16" s="8">
        <f t="shared" si="0"/>
        <v>-1000</v>
      </c>
    </row>
    <row r="17" spans="1:12" ht="162" customHeight="1" thickBot="1" x14ac:dyDescent="0.3">
      <c r="A17" s="50"/>
      <c r="B17" s="24" t="s">
        <v>32</v>
      </c>
      <c r="C17" s="12" t="s">
        <v>31</v>
      </c>
      <c r="D17" s="12" t="s">
        <v>24</v>
      </c>
      <c r="E17" s="13" t="s">
        <v>355</v>
      </c>
      <c r="F17" s="22" t="s">
        <v>4</v>
      </c>
      <c r="G17" s="13" t="s">
        <v>0</v>
      </c>
      <c r="H17" s="12" t="s">
        <v>340</v>
      </c>
      <c r="I17" s="11">
        <v>2024</v>
      </c>
      <c r="J17" s="10"/>
      <c r="K17" s="9"/>
      <c r="L17" s="8">
        <f t="shared" si="0"/>
        <v>-2024</v>
      </c>
    </row>
    <row r="18" spans="1:12" ht="165.75" customHeight="1" thickBot="1" x14ac:dyDescent="0.3">
      <c r="A18" s="50"/>
      <c r="B18" s="24" t="s">
        <v>40</v>
      </c>
      <c r="C18" s="12" t="s">
        <v>27</v>
      </c>
      <c r="D18" s="12" t="s">
        <v>24</v>
      </c>
      <c r="E18" s="13" t="s">
        <v>111</v>
      </c>
      <c r="F18" s="22" t="s">
        <v>4</v>
      </c>
      <c r="G18" s="13" t="s">
        <v>0</v>
      </c>
      <c r="H18" s="12" t="s">
        <v>340</v>
      </c>
      <c r="I18" s="11">
        <v>1000</v>
      </c>
      <c r="J18" s="10"/>
      <c r="K18" s="9"/>
      <c r="L18" s="8">
        <f t="shared" si="0"/>
        <v>-1000</v>
      </c>
    </row>
    <row r="19" spans="1:12" ht="165.75" customHeight="1" thickBot="1" x14ac:dyDescent="0.3">
      <c r="A19" s="50"/>
      <c r="B19" s="24" t="s">
        <v>95</v>
      </c>
      <c r="C19" s="12" t="s">
        <v>15</v>
      </c>
      <c r="D19" s="12" t="s">
        <v>24</v>
      </c>
      <c r="E19" s="13" t="s">
        <v>362</v>
      </c>
      <c r="F19" s="22" t="s">
        <v>4</v>
      </c>
      <c r="G19" s="13" t="s">
        <v>0</v>
      </c>
      <c r="H19" s="12" t="s">
        <v>340</v>
      </c>
      <c r="I19" s="11">
        <v>710</v>
      </c>
      <c r="J19" s="10"/>
      <c r="K19" s="9"/>
      <c r="L19" s="8">
        <f t="shared" si="0"/>
        <v>-710</v>
      </c>
    </row>
    <row r="20" spans="1:12" ht="165.75" customHeight="1" thickBot="1" x14ac:dyDescent="0.3">
      <c r="A20" s="50"/>
      <c r="B20" s="24" t="s">
        <v>95</v>
      </c>
      <c r="C20" s="12" t="s">
        <v>15</v>
      </c>
      <c r="D20" s="12" t="s">
        <v>24</v>
      </c>
      <c r="E20" s="13" t="s">
        <v>96</v>
      </c>
      <c r="F20" s="22" t="s">
        <v>4</v>
      </c>
      <c r="G20" s="13" t="s">
        <v>0</v>
      </c>
      <c r="H20" s="12" t="s">
        <v>340</v>
      </c>
      <c r="I20" s="11">
        <v>2000</v>
      </c>
      <c r="J20" s="10">
        <v>1000</v>
      </c>
      <c r="K20" s="9"/>
      <c r="L20" s="8">
        <f t="shared" si="0"/>
        <v>-1000</v>
      </c>
    </row>
    <row r="21" spans="1:12" ht="165.75" customHeight="1" thickBot="1" x14ac:dyDescent="0.3">
      <c r="A21" s="50"/>
      <c r="B21" s="24" t="s">
        <v>38</v>
      </c>
      <c r="C21" s="12" t="s">
        <v>27</v>
      </c>
      <c r="D21" s="12" t="s">
        <v>24</v>
      </c>
      <c r="E21" s="13" t="s">
        <v>111</v>
      </c>
      <c r="F21" s="22" t="s">
        <v>4</v>
      </c>
      <c r="G21" s="13" t="s">
        <v>0</v>
      </c>
      <c r="H21" s="12" t="s">
        <v>340</v>
      </c>
      <c r="I21" s="11">
        <v>3340</v>
      </c>
      <c r="J21" s="10"/>
      <c r="K21" s="9"/>
      <c r="L21" s="8">
        <f t="shared" si="0"/>
        <v>-3340</v>
      </c>
    </row>
    <row r="22" spans="1:12" ht="165.75" customHeight="1" thickBot="1" x14ac:dyDescent="0.3">
      <c r="A22" s="50"/>
      <c r="B22" s="24" t="s">
        <v>77</v>
      </c>
      <c r="C22" s="12" t="s">
        <v>27</v>
      </c>
      <c r="D22" s="12" t="s">
        <v>24</v>
      </c>
      <c r="E22" s="13" t="s">
        <v>197</v>
      </c>
      <c r="F22" s="22" t="s">
        <v>4</v>
      </c>
      <c r="G22" s="13" t="s">
        <v>8</v>
      </c>
      <c r="H22" s="12" t="s">
        <v>340</v>
      </c>
      <c r="I22" s="11">
        <v>50</v>
      </c>
      <c r="J22" s="10"/>
      <c r="K22" s="9"/>
      <c r="L22" s="8">
        <f t="shared" si="0"/>
        <v>-50</v>
      </c>
    </row>
    <row r="23" spans="1:12" ht="165.75" customHeight="1" thickBot="1" x14ac:dyDescent="0.3">
      <c r="A23" s="50"/>
      <c r="B23" s="24" t="s">
        <v>77</v>
      </c>
      <c r="C23" s="12" t="s">
        <v>27</v>
      </c>
      <c r="D23" s="12" t="s">
        <v>24</v>
      </c>
      <c r="E23" s="13" t="s">
        <v>197</v>
      </c>
      <c r="F23" s="22" t="s">
        <v>4</v>
      </c>
      <c r="G23" s="13" t="s">
        <v>0</v>
      </c>
      <c r="H23" s="12" t="s">
        <v>340</v>
      </c>
      <c r="I23" s="11">
        <v>2890</v>
      </c>
      <c r="J23" s="10">
        <v>1000</v>
      </c>
      <c r="K23" s="9"/>
      <c r="L23" s="8">
        <f t="shared" si="0"/>
        <v>-1890</v>
      </c>
    </row>
    <row r="24" spans="1:12" ht="165.75" customHeight="1" thickBot="1" x14ac:dyDescent="0.3">
      <c r="A24" s="50" t="s">
        <v>23</v>
      </c>
      <c r="B24" s="24" t="s">
        <v>223</v>
      </c>
      <c r="C24" s="12" t="s">
        <v>17</v>
      </c>
      <c r="D24" s="12" t="s">
        <v>311</v>
      </c>
      <c r="E24" s="13" t="s">
        <v>312</v>
      </c>
      <c r="F24" s="22" t="s">
        <v>122</v>
      </c>
      <c r="G24" s="13" t="s">
        <v>0</v>
      </c>
      <c r="H24" s="12" t="s">
        <v>340</v>
      </c>
      <c r="I24" s="11">
        <v>2500</v>
      </c>
      <c r="J24" s="10">
        <v>1000</v>
      </c>
      <c r="K24" s="9"/>
      <c r="L24" s="8">
        <f t="shared" si="0"/>
        <v>-1500</v>
      </c>
    </row>
    <row r="25" spans="1:12" ht="165.75" customHeight="1" thickBot="1" x14ac:dyDescent="0.3">
      <c r="A25" s="50"/>
      <c r="B25" s="24" t="s">
        <v>223</v>
      </c>
      <c r="C25" s="12" t="s">
        <v>17</v>
      </c>
      <c r="D25" s="12" t="s">
        <v>311</v>
      </c>
      <c r="E25" s="13" t="s">
        <v>313</v>
      </c>
      <c r="F25" s="22" t="s">
        <v>122</v>
      </c>
      <c r="G25" s="13" t="s">
        <v>0</v>
      </c>
      <c r="H25" s="12" t="s">
        <v>340</v>
      </c>
      <c r="I25" s="11">
        <v>3000</v>
      </c>
      <c r="J25" s="10"/>
      <c r="K25" s="9"/>
      <c r="L25" s="8">
        <f t="shared" si="0"/>
        <v>-3000</v>
      </c>
    </row>
    <row r="26" spans="1:12" ht="165.75" customHeight="1" thickBot="1" x14ac:dyDescent="0.3">
      <c r="A26" s="50"/>
      <c r="B26" s="24" t="s">
        <v>12</v>
      </c>
      <c r="C26" s="12" t="s">
        <v>6</v>
      </c>
      <c r="D26" s="12" t="s">
        <v>20</v>
      </c>
      <c r="E26" s="13" t="s">
        <v>22</v>
      </c>
      <c r="F26" s="22" t="s">
        <v>4</v>
      </c>
      <c r="G26" s="13" t="s">
        <v>0</v>
      </c>
      <c r="H26" s="12" t="s">
        <v>340</v>
      </c>
      <c r="I26" s="11">
        <v>2493</v>
      </c>
      <c r="J26" s="10">
        <v>1000</v>
      </c>
      <c r="K26" s="9"/>
      <c r="L26" s="8">
        <f t="shared" si="0"/>
        <v>-1493</v>
      </c>
    </row>
    <row r="27" spans="1:12" ht="165.75" customHeight="1" thickBot="1" x14ac:dyDescent="0.3">
      <c r="A27" s="50"/>
      <c r="B27" s="24" t="s">
        <v>21</v>
      </c>
      <c r="C27" s="12" t="s">
        <v>118</v>
      </c>
      <c r="D27" s="12" t="s">
        <v>20</v>
      </c>
      <c r="E27" s="13" t="s">
        <v>222</v>
      </c>
      <c r="F27" s="22" t="s">
        <v>4</v>
      </c>
      <c r="G27" s="13" t="s">
        <v>0</v>
      </c>
      <c r="H27" s="12" t="s">
        <v>340</v>
      </c>
      <c r="I27" s="11">
        <v>1400</v>
      </c>
      <c r="J27" s="10"/>
      <c r="K27" s="9"/>
      <c r="L27" s="8">
        <f t="shared" si="0"/>
        <v>-1400</v>
      </c>
    </row>
    <row r="28" spans="1:12" ht="165.75" customHeight="1" thickBot="1" x14ac:dyDescent="0.3">
      <c r="A28" s="50"/>
      <c r="B28" s="24" t="s">
        <v>21</v>
      </c>
      <c r="C28" s="12" t="s">
        <v>118</v>
      </c>
      <c r="D28" s="12" t="s">
        <v>20</v>
      </c>
      <c r="E28" s="13" t="s">
        <v>119</v>
      </c>
      <c r="F28" s="22" t="s">
        <v>4</v>
      </c>
      <c r="G28" s="13" t="s">
        <v>0</v>
      </c>
      <c r="H28" s="12" t="s">
        <v>340</v>
      </c>
      <c r="I28" s="11">
        <v>2817</v>
      </c>
      <c r="J28" s="10"/>
      <c r="K28" s="9"/>
      <c r="L28" s="8">
        <f t="shared" si="0"/>
        <v>-2817</v>
      </c>
    </row>
    <row r="29" spans="1:12" ht="165.75" customHeight="1" thickBot="1" x14ac:dyDescent="0.3">
      <c r="A29" s="50" t="s">
        <v>54</v>
      </c>
      <c r="B29" s="24" t="s">
        <v>104</v>
      </c>
      <c r="C29" s="12" t="s">
        <v>235</v>
      </c>
      <c r="D29" s="12" t="s">
        <v>60</v>
      </c>
      <c r="E29" s="13" t="s">
        <v>363</v>
      </c>
      <c r="F29" s="22" t="s">
        <v>64</v>
      </c>
      <c r="G29" s="13" t="s">
        <v>37</v>
      </c>
      <c r="H29" s="12" t="s">
        <v>340</v>
      </c>
      <c r="I29" s="11">
        <v>615</v>
      </c>
      <c r="J29" s="10"/>
      <c r="K29" s="9"/>
      <c r="L29" s="8">
        <f t="shared" si="0"/>
        <v>-615</v>
      </c>
    </row>
    <row r="30" spans="1:12" ht="165.75" customHeight="1" thickBot="1" x14ac:dyDescent="0.3">
      <c r="A30" s="50"/>
      <c r="B30" s="24" t="s">
        <v>104</v>
      </c>
      <c r="C30" s="12" t="s">
        <v>235</v>
      </c>
      <c r="D30" s="12" t="s">
        <v>60</v>
      </c>
      <c r="E30" s="13" t="s">
        <v>364</v>
      </c>
      <c r="F30" s="22" t="s">
        <v>64</v>
      </c>
      <c r="G30" s="13" t="s">
        <v>37</v>
      </c>
      <c r="H30" s="12" t="s">
        <v>340</v>
      </c>
      <c r="I30" s="11">
        <v>21</v>
      </c>
      <c r="J30" s="10"/>
      <c r="K30" s="9"/>
      <c r="L30" s="8">
        <f t="shared" si="0"/>
        <v>-21</v>
      </c>
    </row>
    <row r="31" spans="1:12" ht="165.75" customHeight="1" thickBot="1" x14ac:dyDescent="0.3">
      <c r="A31" s="50"/>
      <c r="B31" s="24" t="s">
        <v>104</v>
      </c>
      <c r="C31" s="12" t="s">
        <v>235</v>
      </c>
      <c r="D31" s="12" t="s">
        <v>60</v>
      </c>
      <c r="E31" s="13" t="s">
        <v>365</v>
      </c>
      <c r="F31" s="22" t="s">
        <v>64</v>
      </c>
      <c r="G31" s="13" t="s">
        <v>37</v>
      </c>
      <c r="H31" s="12" t="s">
        <v>340</v>
      </c>
      <c r="I31" s="11">
        <v>17</v>
      </c>
      <c r="J31" s="10"/>
      <c r="K31" s="9"/>
      <c r="L31" s="8">
        <f t="shared" si="0"/>
        <v>-17</v>
      </c>
    </row>
    <row r="32" spans="1:12" ht="165.75" customHeight="1" thickBot="1" x14ac:dyDescent="0.3">
      <c r="A32" s="50"/>
      <c r="B32" s="24" t="s">
        <v>104</v>
      </c>
      <c r="C32" s="12" t="s">
        <v>235</v>
      </c>
      <c r="D32" s="12" t="s">
        <v>60</v>
      </c>
      <c r="E32" s="13" t="s">
        <v>366</v>
      </c>
      <c r="F32" s="22" t="s">
        <v>64</v>
      </c>
      <c r="G32" s="13" t="s">
        <v>37</v>
      </c>
      <c r="H32" s="12" t="s">
        <v>340</v>
      </c>
      <c r="I32" s="11">
        <v>9</v>
      </c>
      <c r="J32" s="10"/>
      <c r="K32" s="9"/>
      <c r="L32" s="8">
        <f t="shared" si="0"/>
        <v>-9</v>
      </c>
    </row>
    <row r="33" spans="1:12" ht="165.75" customHeight="1" thickBot="1" x14ac:dyDescent="0.3">
      <c r="A33" s="50"/>
      <c r="B33" s="24" t="s">
        <v>104</v>
      </c>
      <c r="C33" s="12" t="s">
        <v>235</v>
      </c>
      <c r="D33" s="12" t="s">
        <v>60</v>
      </c>
      <c r="E33" s="13" t="s">
        <v>367</v>
      </c>
      <c r="F33" s="22" t="s">
        <v>64</v>
      </c>
      <c r="G33" s="13" t="s">
        <v>37</v>
      </c>
      <c r="H33" s="12" t="s">
        <v>340</v>
      </c>
      <c r="I33" s="11">
        <v>74</v>
      </c>
      <c r="J33" s="10"/>
      <c r="K33" s="9"/>
      <c r="L33" s="8">
        <f t="shared" si="0"/>
        <v>-74</v>
      </c>
    </row>
    <row r="34" spans="1:12" ht="165.75" customHeight="1" thickBot="1" x14ac:dyDescent="0.3">
      <c r="A34" s="50"/>
      <c r="B34" s="24" t="s">
        <v>104</v>
      </c>
      <c r="C34" s="12" t="s">
        <v>235</v>
      </c>
      <c r="D34" s="12" t="s">
        <v>60</v>
      </c>
      <c r="E34" s="13" t="s">
        <v>368</v>
      </c>
      <c r="F34" s="22" t="s">
        <v>64</v>
      </c>
      <c r="G34" s="13" t="s">
        <v>37</v>
      </c>
      <c r="H34" s="12" t="s">
        <v>340</v>
      </c>
      <c r="I34" s="11">
        <v>1</v>
      </c>
      <c r="J34" s="10"/>
      <c r="K34" s="9"/>
      <c r="L34" s="8">
        <f t="shared" si="0"/>
        <v>-1</v>
      </c>
    </row>
    <row r="35" spans="1:12" ht="165.75" customHeight="1" thickBot="1" x14ac:dyDescent="0.3">
      <c r="A35" s="50" t="s">
        <v>19</v>
      </c>
      <c r="B35" s="24" t="s">
        <v>21</v>
      </c>
      <c r="C35" s="12" t="s">
        <v>105</v>
      </c>
      <c r="D35" s="12" t="s">
        <v>14</v>
      </c>
      <c r="E35" s="13" t="s">
        <v>217</v>
      </c>
      <c r="F35" s="22" t="s">
        <v>122</v>
      </c>
      <c r="G35" s="13" t="s">
        <v>0</v>
      </c>
      <c r="H35" s="12" t="s">
        <v>356</v>
      </c>
      <c r="I35" s="11">
        <v>1000</v>
      </c>
      <c r="J35" s="10"/>
      <c r="K35" s="9"/>
      <c r="L35" s="8">
        <f t="shared" si="0"/>
        <v>-1000</v>
      </c>
    </row>
    <row r="36" spans="1:12" ht="165.75" customHeight="1" thickBot="1" x14ac:dyDescent="0.3">
      <c r="A36" s="50"/>
      <c r="B36" s="24" t="s">
        <v>7</v>
      </c>
      <c r="C36" s="12" t="s">
        <v>15</v>
      </c>
      <c r="D36" s="12" t="s">
        <v>14</v>
      </c>
      <c r="E36" s="13" t="s">
        <v>13</v>
      </c>
      <c r="F36" s="22" t="s">
        <v>4</v>
      </c>
      <c r="G36" s="13" t="s">
        <v>0</v>
      </c>
      <c r="H36" s="12" t="s">
        <v>340</v>
      </c>
      <c r="I36" s="11">
        <v>1930</v>
      </c>
      <c r="J36" s="10">
        <v>500</v>
      </c>
      <c r="K36" s="9"/>
      <c r="L36" s="8">
        <f t="shared" si="0"/>
        <v>-1430</v>
      </c>
    </row>
    <row r="37" spans="1:12" ht="165.75" customHeight="1" thickBot="1" x14ac:dyDescent="0.3">
      <c r="A37" s="50"/>
      <c r="B37" s="24" t="s">
        <v>12</v>
      </c>
      <c r="C37" s="12" t="s">
        <v>3</v>
      </c>
      <c r="D37" s="12" t="s">
        <v>11</v>
      </c>
      <c r="E37" s="13" t="s">
        <v>10</v>
      </c>
      <c r="F37" s="22" t="s">
        <v>4</v>
      </c>
      <c r="G37" s="13" t="s">
        <v>0</v>
      </c>
      <c r="H37" s="12" t="s">
        <v>340</v>
      </c>
      <c r="I37" s="11">
        <v>15000</v>
      </c>
      <c r="J37" s="10"/>
      <c r="K37" s="9"/>
      <c r="L37" s="8">
        <f t="shared" si="0"/>
        <v>-15000</v>
      </c>
    </row>
    <row r="38" spans="1:12" ht="165.75" customHeight="1" thickBot="1" x14ac:dyDescent="0.3">
      <c r="A38" s="50"/>
      <c r="B38" s="24" t="s">
        <v>12</v>
      </c>
      <c r="C38" s="12" t="s">
        <v>3</v>
      </c>
      <c r="D38" s="12" t="s">
        <v>11</v>
      </c>
      <c r="E38" s="13" t="s">
        <v>10</v>
      </c>
      <c r="F38" s="22" t="s">
        <v>9</v>
      </c>
      <c r="G38" s="13" t="s">
        <v>0</v>
      </c>
      <c r="H38" s="12" t="s">
        <v>356</v>
      </c>
      <c r="I38" s="11">
        <v>5000</v>
      </c>
      <c r="J38" s="10"/>
      <c r="K38" s="9"/>
      <c r="L38" s="8">
        <f t="shared" si="0"/>
        <v>-5000</v>
      </c>
    </row>
    <row r="39" spans="1:12" ht="165.75" customHeight="1" thickBot="1" x14ac:dyDescent="0.3">
      <c r="A39" s="50"/>
      <c r="B39" s="24" t="s">
        <v>7</v>
      </c>
      <c r="C39" s="12" t="s">
        <v>6</v>
      </c>
      <c r="D39" s="12" t="s">
        <v>1</v>
      </c>
      <c r="E39" s="13" t="s">
        <v>5</v>
      </c>
      <c r="F39" s="22" t="s">
        <v>4</v>
      </c>
      <c r="G39" s="13" t="s">
        <v>0</v>
      </c>
      <c r="H39" s="12" t="s">
        <v>340</v>
      </c>
      <c r="I39" s="11">
        <v>3013</v>
      </c>
      <c r="J39" s="10">
        <v>2000</v>
      </c>
      <c r="K39" s="9"/>
      <c r="L39" s="8">
        <f t="shared" si="0"/>
        <v>-1013</v>
      </c>
    </row>
    <row r="40" spans="1:12" ht="165.75" customHeight="1" thickBot="1" x14ac:dyDescent="0.3">
      <c r="A40" s="50"/>
      <c r="B40" s="24" t="s">
        <v>194</v>
      </c>
      <c r="C40" s="12" t="s">
        <v>118</v>
      </c>
      <c r="D40" s="12" t="s">
        <v>1</v>
      </c>
      <c r="E40" s="13" t="s">
        <v>216</v>
      </c>
      <c r="F40" s="22" t="s">
        <v>122</v>
      </c>
      <c r="G40" s="13" t="s">
        <v>0</v>
      </c>
      <c r="H40" s="12" t="s">
        <v>356</v>
      </c>
      <c r="I40" s="11">
        <v>5000</v>
      </c>
      <c r="J40" s="10"/>
      <c r="K40" s="9"/>
      <c r="L40" s="8">
        <f t="shared" si="0"/>
        <v>-5000</v>
      </c>
    </row>
  </sheetData>
  <autoFilter ref="A2:L40"/>
  <dataConsolidate/>
  <mergeCells count="6">
    <mergeCell ref="A35:A40"/>
    <mergeCell ref="A1:L1"/>
    <mergeCell ref="A3:A15"/>
    <mergeCell ref="A16:A23"/>
    <mergeCell ref="A24:A28"/>
    <mergeCell ref="A29:A34"/>
  </mergeCells>
  <conditionalFormatting sqref="I2:I24 K3:L24">
    <cfRule type="cellIs" dxfId="69" priority="3" operator="lessThan">
      <formula>0</formula>
    </cfRule>
  </conditionalFormatting>
  <conditionalFormatting sqref="L2">
    <cfRule type="cellIs" dxfId="68" priority="2" operator="lessThan">
      <formula>0</formula>
    </cfRule>
  </conditionalFormatting>
  <conditionalFormatting sqref="I25:I40 K25:L40">
    <cfRule type="cellIs" dxfId="67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5"/>
  <sheetViews>
    <sheetView showGridLines="0" view="pageBreakPreview" zoomScale="20" zoomScaleNormal="15" zoomScaleSheetLayoutView="20" workbookViewId="0">
      <selection activeCell="K6" sqref="K6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369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40</v>
      </c>
      <c r="C3" s="12" t="s">
        <v>149</v>
      </c>
      <c r="D3" s="12" t="s">
        <v>126</v>
      </c>
      <c r="E3" s="13" t="s">
        <v>150</v>
      </c>
      <c r="F3" s="22" t="s">
        <v>122</v>
      </c>
      <c r="G3" s="13" t="s">
        <v>0</v>
      </c>
      <c r="H3" s="12" t="s">
        <v>340</v>
      </c>
      <c r="I3" s="11">
        <v>500</v>
      </c>
      <c r="J3" s="10"/>
      <c r="K3" s="9">
        <v>500</v>
      </c>
      <c r="L3" s="8">
        <f t="shared" ref="L3:L45" si="0">K3+J3-I3</f>
        <v>0</v>
      </c>
    </row>
    <row r="4" spans="1:12" ht="162" customHeight="1" thickBot="1" x14ac:dyDescent="0.3">
      <c r="A4" s="47"/>
      <c r="B4" s="13" t="s">
        <v>136</v>
      </c>
      <c r="C4" s="12" t="s">
        <v>6</v>
      </c>
      <c r="D4" s="12" t="s">
        <v>126</v>
      </c>
      <c r="E4" s="13" t="s">
        <v>137</v>
      </c>
      <c r="F4" s="22" t="s">
        <v>122</v>
      </c>
      <c r="G4" s="13" t="s">
        <v>0</v>
      </c>
      <c r="H4" s="12" t="s">
        <v>340</v>
      </c>
      <c r="I4" s="11">
        <v>5000</v>
      </c>
      <c r="J4" s="10">
        <v>1000</v>
      </c>
      <c r="K4" s="9">
        <v>4000</v>
      </c>
      <c r="L4" s="8">
        <f t="shared" si="0"/>
        <v>0</v>
      </c>
    </row>
    <row r="5" spans="1:12" ht="162" customHeight="1" thickBot="1" x14ac:dyDescent="0.3">
      <c r="A5" s="47"/>
      <c r="B5" s="13" t="s">
        <v>136</v>
      </c>
      <c r="C5" s="12" t="s">
        <v>6</v>
      </c>
      <c r="D5" s="12" t="s">
        <v>126</v>
      </c>
      <c r="E5" s="13" t="s">
        <v>137</v>
      </c>
      <c r="F5" s="22" t="s">
        <v>122</v>
      </c>
      <c r="G5" s="13" t="s">
        <v>0</v>
      </c>
      <c r="H5" s="12" t="s">
        <v>356</v>
      </c>
      <c r="I5" s="11">
        <v>4600</v>
      </c>
      <c r="J5" s="10"/>
      <c r="K5" s="9">
        <v>4600</v>
      </c>
      <c r="L5" s="8">
        <f t="shared" si="0"/>
        <v>0</v>
      </c>
    </row>
    <row r="6" spans="1:12" ht="162" customHeight="1" thickBot="1" x14ac:dyDescent="0.3">
      <c r="A6" s="47"/>
      <c r="B6" s="13" t="s">
        <v>136</v>
      </c>
      <c r="C6" s="12" t="s">
        <v>235</v>
      </c>
      <c r="D6" s="12" t="s">
        <v>126</v>
      </c>
      <c r="E6" s="13" t="s">
        <v>236</v>
      </c>
      <c r="F6" s="22" t="s">
        <v>122</v>
      </c>
      <c r="G6" s="13" t="s">
        <v>0</v>
      </c>
      <c r="H6" s="12" t="s">
        <v>370</v>
      </c>
      <c r="I6" s="11">
        <v>2000</v>
      </c>
      <c r="J6" s="10">
        <v>500</v>
      </c>
      <c r="K6" s="9">
        <v>1500</v>
      </c>
      <c r="L6" s="8">
        <f t="shared" si="0"/>
        <v>0</v>
      </c>
    </row>
    <row r="7" spans="1:12" ht="162" customHeight="1" thickBot="1" x14ac:dyDescent="0.3">
      <c r="A7" s="47"/>
      <c r="B7" s="13" t="s">
        <v>136</v>
      </c>
      <c r="C7" s="12" t="s">
        <v>118</v>
      </c>
      <c r="D7" s="12" t="s">
        <v>126</v>
      </c>
      <c r="E7" s="13" t="s">
        <v>221</v>
      </c>
      <c r="F7" s="22" t="s">
        <v>122</v>
      </c>
      <c r="G7" s="13" t="s">
        <v>0</v>
      </c>
      <c r="H7" s="12" t="s">
        <v>370</v>
      </c>
      <c r="I7" s="11">
        <v>3000</v>
      </c>
      <c r="J7" s="10">
        <v>1000</v>
      </c>
      <c r="K7" s="9">
        <v>2000</v>
      </c>
      <c r="L7" s="8">
        <f t="shared" si="0"/>
        <v>0</v>
      </c>
    </row>
    <row r="8" spans="1:12" ht="162" customHeight="1" thickBot="1" x14ac:dyDescent="0.3">
      <c r="A8" s="47"/>
      <c r="B8" s="13" t="s">
        <v>40</v>
      </c>
      <c r="C8" s="12" t="s">
        <v>100</v>
      </c>
      <c r="D8" s="12" t="s">
        <v>126</v>
      </c>
      <c r="E8" s="13" t="s">
        <v>238</v>
      </c>
      <c r="F8" s="22" t="s">
        <v>131</v>
      </c>
      <c r="G8" s="13" t="s">
        <v>37</v>
      </c>
      <c r="H8" s="12" t="s">
        <v>356</v>
      </c>
      <c r="I8" s="11">
        <v>160</v>
      </c>
      <c r="J8" s="10"/>
      <c r="K8" s="9">
        <v>160</v>
      </c>
      <c r="L8" s="8">
        <f t="shared" si="0"/>
        <v>0</v>
      </c>
    </row>
    <row r="9" spans="1:12" ht="162" customHeight="1" thickBot="1" x14ac:dyDescent="0.3">
      <c r="A9" s="47"/>
      <c r="B9" s="13" t="s">
        <v>95</v>
      </c>
      <c r="C9" s="12" t="s">
        <v>15</v>
      </c>
      <c r="D9" s="12" t="s">
        <v>24</v>
      </c>
      <c r="E9" s="13" t="s">
        <v>96</v>
      </c>
      <c r="F9" s="22" t="s">
        <v>4</v>
      </c>
      <c r="G9" s="13" t="s">
        <v>0</v>
      </c>
      <c r="H9" s="12" t="s">
        <v>356</v>
      </c>
      <c r="I9" s="11">
        <v>3000</v>
      </c>
      <c r="J9" s="10">
        <v>1000</v>
      </c>
      <c r="K9" s="9">
        <v>2000</v>
      </c>
      <c r="L9" s="8">
        <f t="shared" si="0"/>
        <v>0</v>
      </c>
    </row>
    <row r="10" spans="1:12" ht="162" customHeight="1" thickBot="1" x14ac:dyDescent="0.3">
      <c r="A10" s="47"/>
      <c r="B10" s="13" t="s">
        <v>77</v>
      </c>
      <c r="C10" s="12" t="s">
        <v>27</v>
      </c>
      <c r="D10" s="12" t="s">
        <v>24</v>
      </c>
      <c r="E10" s="13" t="s">
        <v>39</v>
      </c>
      <c r="F10" s="22" t="s">
        <v>4</v>
      </c>
      <c r="G10" s="13" t="s">
        <v>0</v>
      </c>
      <c r="H10" s="12" t="s">
        <v>340</v>
      </c>
      <c r="I10" s="11">
        <v>2000</v>
      </c>
      <c r="J10" s="10">
        <v>1000</v>
      </c>
      <c r="K10" s="9">
        <v>1000</v>
      </c>
      <c r="L10" s="8">
        <f t="shared" si="0"/>
        <v>0</v>
      </c>
    </row>
    <row r="11" spans="1:12" ht="162" customHeight="1" thickBot="1" x14ac:dyDescent="0.3">
      <c r="A11" s="47"/>
      <c r="B11" s="24" t="s">
        <v>77</v>
      </c>
      <c r="C11" s="12" t="s">
        <v>27</v>
      </c>
      <c r="D11" s="12" t="s">
        <v>24</v>
      </c>
      <c r="E11" s="13" t="s">
        <v>76</v>
      </c>
      <c r="F11" s="22" t="s">
        <v>4</v>
      </c>
      <c r="G11" s="13" t="s">
        <v>0</v>
      </c>
      <c r="H11" s="12" t="s">
        <v>340</v>
      </c>
      <c r="I11" s="11">
        <v>1020</v>
      </c>
      <c r="J11" s="10"/>
      <c r="K11" s="9">
        <v>1020</v>
      </c>
      <c r="L11" s="8">
        <f t="shared" si="0"/>
        <v>0</v>
      </c>
    </row>
    <row r="12" spans="1:12" ht="162" customHeight="1" thickBot="1" x14ac:dyDescent="0.3">
      <c r="A12" s="47"/>
      <c r="B12" s="24" t="s">
        <v>77</v>
      </c>
      <c r="C12" s="12" t="s">
        <v>27</v>
      </c>
      <c r="D12" s="12" t="s">
        <v>24</v>
      </c>
      <c r="E12" s="13" t="s">
        <v>111</v>
      </c>
      <c r="F12" s="22" t="s">
        <v>4</v>
      </c>
      <c r="G12" s="13" t="s">
        <v>0</v>
      </c>
      <c r="H12" s="12" t="s">
        <v>340</v>
      </c>
      <c r="I12" s="11">
        <v>2000</v>
      </c>
      <c r="J12" s="10"/>
      <c r="K12" s="9">
        <v>2000</v>
      </c>
      <c r="L12" s="8">
        <f t="shared" si="0"/>
        <v>0</v>
      </c>
    </row>
    <row r="13" spans="1:12" ht="162" customHeight="1" thickBot="1" x14ac:dyDescent="0.3">
      <c r="A13" s="47"/>
      <c r="B13" s="24" t="s">
        <v>77</v>
      </c>
      <c r="C13" s="12" t="s">
        <v>27</v>
      </c>
      <c r="D13" s="12" t="s">
        <v>24</v>
      </c>
      <c r="E13" s="37" t="s">
        <v>76</v>
      </c>
      <c r="F13" s="22" t="s">
        <v>4</v>
      </c>
      <c r="G13" s="13" t="s">
        <v>0</v>
      </c>
      <c r="H13" s="12" t="s">
        <v>356</v>
      </c>
      <c r="I13" s="11">
        <v>2000</v>
      </c>
      <c r="J13" s="10">
        <v>2000</v>
      </c>
      <c r="K13" s="9"/>
      <c r="L13" s="8">
        <f t="shared" si="0"/>
        <v>0</v>
      </c>
    </row>
    <row r="14" spans="1:12" ht="162" customHeight="1" thickBot="1" x14ac:dyDescent="0.3">
      <c r="A14" s="47"/>
      <c r="B14" s="24" t="s">
        <v>77</v>
      </c>
      <c r="C14" s="12" t="s">
        <v>27</v>
      </c>
      <c r="D14" s="22" t="s">
        <v>24</v>
      </c>
      <c r="E14" s="13" t="s">
        <v>39</v>
      </c>
      <c r="F14" s="22" t="s">
        <v>4</v>
      </c>
      <c r="G14" s="13" t="s">
        <v>0</v>
      </c>
      <c r="H14" s="12" t="s">
        <v>356</v>
      </c>
      <c r="I14" s="11">
        <v>2000</v>
      </c>
      <c r="J14" s="10"/>
      <c r="K14" s="9">
        <v>2000</v>
      </c>
      <c r="L14" s="8">
        <f t="shared" si="0"/>
        <v>0</v>
      </c>
    </row>
    <row r="15" spans="1:12" ht="162" customHeight="1" thickBot="1" x14ac:dyDescent="0.3">
      <c r="A15" s="47"/>
      <c r="B15" s="24" t="s">
        <v>77</v>
      </c>
      <c r="C15" s="12" t="s">
        <v>27</v>
      </c>
      <c r="D15" s="22" t="s">
        <v>24</v>
      </c>
      <c r="E15" s="13" t="s">
        <v>197</v>
      </c>
      <c r="F15" s="22" t="s">
        <v>4</v>
      </c>
      <c r="G15" s="13" t="s">
        <v>0</v>
      </c>
      <c r="H15" s="12" t="s">
        <v>356</v>
      </c>
      <c r="I15" s="11">
        <v>3000</v>
      </c>
      <c r="J15" s="10"/>
      <c r="K15" s="9">
        <v>3000</v>
      </c>
      <c r="L15" s="8">
        <f t="shared" si="0"/>
        <v>0</v>
      </c>
    </row>
    <row r="16" spans="1:12" ht="162" customHeight="1" thickBot="1" x14ac:dyDescent="0.3">
      <c r="A16" s="47"/>
      <c r="B16" s="24" t="s">
        <v>371</v>
      </c>
      <c r="C16" s="12" t="s">
        <v>113</v>
      </c>
      <c r="D16" s="12" t="s">
        <v>24</v>
      </c>
      <c r="E16" s="13" t="s">
        <v>292</v>
      </c>
      <c r="F16" s="22" t="s">
        <v>4</v>
      </c>
      <c r="G16" s="13" t="s">
        <v>0</v>
      </c>
      <c r="H16" s="12" t="s">
        <v>356</v>
      </c>
      <c r="I16" s="11">
        <v>1560</v>
      </c>
      <c r="J16" s="10">
        <v>1000</v>
      </c>
      <c r="K16" s="9">
        <v>560</v>
      </c>
      <c r="L16" s="8">
        <f t="shared" si="0"/>
        <v>0</v>
      </c>
    </row>
    <row r="17" spans="1:12" ht="162" customHeight="1" thickBot="1" x14ac:dyDescent="0.3">
      <c r="A17" s="47"/>
      <c r="B17" s="24" t="s">
        <v>371</v>
      </c>
      <c r="C17" s="12" t="s">
        <v>113</v>
      </c>
      <c r="D17" s="12" t="s">
        <v>24</v>
      </c>
      <c r="E17" s="13" t="s">
        <v>372</v>
      </c>
      <c r="F17" s="22" t="s">
        <v>4</v>
      </c>
      <c r="G17" s="13" t="s">
        <v>0</v>
      </c>
      <c r="H17" s="12" t="s">
        <v>356</v>
      </c>
      <c r="I17" s="11">
        <v>1500</v>
      </c>
      <c r="J17" s="10"/>
      <c r="K17" s="9">
        <v>1500</v>
      </c>
      <c r="L17" s="8">
        <f t="shared" si="0"/>
        <v>0</v>
      </c>
    </row>
    <row r="18" spans="1:12" ht="165.75" customHeight="1" thickBot="1" x14ac:dyDescent="0.3">
      <c r="A18" s="47"/>
      <c r="B18" s="24" t="s">
        <v>32</v>
      </c>
      <c r="C18" s="12" t="s">
        <v>31</v>
      </c>
      <c r="D18" s="12" t="s">
        <v>24</v>
      </c>
      <c r="E18" s="13" t="s">
        <v>116</v>
      </c>
      <c r="F18" s="22" t="s">
        <v>9</v>
      </c>
      <c r="G18" s="13" t="s">
        <v>0</v>
      </c>
      <c r="H18" s="12" t="s">
        <v>356</v>
      </c>
      <c r="I18" s="11">
        <v>2000</v>
      </c>
      <c r="J18" s="10">
        <v>1000</v>
      </c>
      <c r="K18" s="9">
        <v>1000</v>
      </c>
      <c r="L18" s="8">
        <f t="shared" si="0"/>
        <v>0</v>
      </c>
    </row>
    <row r="19" spans="1:12" ht="165.75" customHeight="1" thickBot="1" x14ac:dyDescent="0.3">
      <c r="A19" s="47"/>
      <c r="B19" s="24" t="s">
        <v>32</v>
      </c>
      <c r="C19" s="12" t="s">
        <v>31</v>
      </c>
      <c r="D19" s="12" t="s">
        <v>24</v>
      </c>
      <c r="E19" s="13" t="s">
        <v>97</v>
      </c>
      <c r="F19" s="22" t="s">
        <v>4</v>
      </c>
      <c r="G19" s="13" t="s">
        <v>0</v>
      </c>
      <c r="H19" s="12" t="s">
        <v>356</v>
      </c>
      <c r="I19" s="11">
        <v>1500</v>
      </c>
      <c r="J19" s="10">
        <v>500</v>
      </c>
      <c r="K19" s="9">
        <v>1000</v>
      </c>
      <c r="L19" s="8">
        <f t="shared" si="0"/>
        <v>0</v>
      </c>
    </row>
    <row r="20" spans="1:12" ht="165.75" customHeight="1" thickBot="1" x14ac:dyDescent="0.3">
      <c r="A20" s="48"/>
      <c r="B20" s="24" t="s">
        <v>32</v>
      </c>
      <c r="C20" s="12" t="s">
        <v>31</v>
      </c>
      <c r="D20" s="12" t="s">
        <v>24</v>
      </c>
      <c r="E20" s="13" t="s">
        <v>78</v>
      </c>
      <c r="F20" s="22" t="s">
        <v>4</v>
      </c>
      <c r="G20" s="13" t="s">
        <v>0</v>
      </c>
      <c r="H20" s="12" t="s">
        <v>356</v>
      </c>
      <c r="I20" s="11">
        <v>1500</v>
      </c>
      <c r="J20" s="10"/>
      <c r="K20" s="9">
        <v>1500</v>
      </c>
      <c r="L20" s="8">
        <f t="shared" si="0"/>
        <v>0</v>
      </c>
    </row>
    <row r="21" spans="1:12" ht="165.75" customHeight="1" thickBot="1" x14ac:dyDescent="0.3">
      <c r="A21" s="46" t="s">
        <v>36</v>
      </c>
      <c r="B21" s="24" t="s">
        <v>61</v>
      </c>
      <c r="C21" s="12" t="s">
        <v>31</v>
      </c>
      <c r="D21" s="12" t="s">
        <v>24</v>
      </c>
      <c r="E21" s="13" t="s">
        <v>116</v>
      </c>
      <c r="F21" s="22" t="s">
        <v>9</v>
      </c>
      <c r="G21" s="13" t="s">
        <v>0</v>
      </c>
      <c r="H21" s="12" t="s">
        <v>356</v>
      </c>
      <c r="I21" s="11">
        <v>1000</v>
      </c>
      <c r="J21" s="10">
        <v>1000</v>
      </c>
      <c r="K21" s="9"/>
      <c r="L21" s="8">
        <f t="shared" si="0"/>
        <v>0</v>
      </c>
    </row>
    <row r="22" spans="1:12" ht="165.75" customHeight="1" thickBot="1" x14ac:dyDescent="0.3">
      <c r="A22" s="47"/>
      <c r="B22" s="24" t="s">
        <v>61</v>
      </c>
      <c r="C22" s="12" t="s">
        <v>31</v>
      </c>
      <c r="D22" s="12" t="s">
        <v>24</v>
      </c>
      <c r="E22" s="13" t="s">
        <v>97</v>
      </c>
      <c r="F22" s="22" t="s">
        <v>4</v>
      </c>
      <c r="G22" s="13" t="s">
        <v>0</v>
      </c>
      <c r="H22" s="12" t="s">
        <v>356</v>
      </c>
      <c r="I22" s="11">
        <v>500</v>
      </c>
      <c r="J22" s="10"/>
      <c r="K22" s="9">
        <v>500</v>
      </c>
      <c r="L22" s="8">
        <f t="shared" si="0"/>
        <v>0</v>
      </c>
    </row>
    <row r="23" spans="1:12" ht="165.75" customHeight="1" thickBot="1" x14ac:dyDescent="0.3">
      <c r="A23" s="47"/>
      <c r="B23" s="24" t="s">
        <v>61</v>
      </c>
      <c r="C23" s="12" t="s">
        <v>31</v>
      </c>
      <c r="D23" s="12" t="s">
        <v>24</v>
      </c>
      <c r="E23" s="13" t="s">
        <v>78</v>
      </c>
      <c r="F23" s="22" t="s">
        <v>4</v>
      </c>
      <c r="G23" s="13" t="s">
        <v>0</v>
      </c>
      <c r="H23" s="12" t="s">
        <v>356</v>
      </c>
      <c r="I23" s="11">
        <v>1000</v>
      </c>
      <c r="J23" s="10"/>
      <c r="K23" s="9">
        <v>1000</v>
      </c>
      <c r="L23" s="8">
        <f t="shared" si="0"/>
        <v>0</v>
      </c>
    </row>
    <row r="24" spans="1:12" ht="165.75" customHeight="1" thickBot="1" x14ac:dyDescent="0.3">
      <c r="A24" s="47"/>
      <c r="B24" s="24" t="s">
        <v>40</v>
      </c>
      <c r="C24" s="12" t="s">
        <v>27</v>
      </c>
      <c r="D24" s="12" t="s">
        <v>24</v>
      </c>
      <c r="E24" s="13" t="s">
        <v>76</v>
      </c>
      <c r="F24" s="22" t="s">
        <v>4</v>
      </c>
      <c r="G24" s="13" t="s">
        <v>0</v>
      </c>
      <c r="H24" s="12" t="s">
        <v>356</v>
      </c>
      <c r="I24" s="11">
        <v>500</v>
      </c>
      <c r="J24" s="10">
        <v>500</v>
      </c>
      <c r="K24" s="9"/>
      <c r="L24" s="8">
        <f t="shared" si="0"/>
        <v>0</v>
      </c>
    </row>
    <row r="25" spans="1:12" ht="165.75" customHeight="1" thickBot="1" x14ac:dyDescent="0.3">
      <c r="A25" s="47"/>
      <c r="B25" s="24" t="s">
        <v>40</v>
      </c>
      <c r="C25" s="12" t="s">
        <v>27</v>
      </c>
      <c r="D25" s="12" t="s">
        <v>24</v>
      </c>
      <c r="E25" s="13" t="s">
        <v>197</v>
      </c>
      <c r="F25" s="22" t="s">
        <v>4</v>
      </c>
      <c r="G25" s="13" t="s">
        <v>0</v>
      </c>
      <c r="H25" s="12" t="s">
        <v>356</v>
      </c>
      <c r="I25" s="11">
        <v>500</v>
      </c>
      <c r="J25" s="10">
        <v>500</v>
      </c>
      <c r="K25" s="9"/>
      <c r="L25" s="8">
        <f t="shared" si="0"/>
        <v>0</v>
      </c>
    </row>
    <row r="26" spans="1:12" ht="165.75" customHeight="1" thickBot="1" x14ac:dyDescent="0.3">
      <c r="A26" s="47"/>
      <c r="B26" s="24" t="s">
        <v>284</v>
      </c>
      <c r="C26" s="12" t="s">
        <v>113</v>
      </c>
      <c r="D26" s="12" t="s">
        <v>24</v>
      </c>
      <c r="E26" s="13" t="s">
        <v>292</v>
      </c>
      <c r="F26" s="22" t="s">
        <v>4</v>
      </c>
      <c r="G26" s="13" t="s">
        <v>0</v>
      </c>
      <c r="H26" s="12" t="s">
        <v>356</v>
      </c>
      <c r="I26" s="11">
        <v>1560</v>
      </c>
      <c r="J26" s="10">
        <v>1000</v>
      </c>
      <c r="K26" s="9">
        <v>560</v>
      </c>
      <c r="L26" s="8">
        <f t="shared" si="0"/>
        <v>0</v>
      </c>
    </row>
    <row r="27" spans="1:12" ht="165.75" customHeight="1" thickBot="1" x14ac:dyDescent="0.3">
      <c r="A27" s="47"/>
      <c r="B27" s="24" t="s">
        <v>284</v>
      </c>
      <c r="C27" s="12" t="s">
        <v>113</v>
      </c>
      <c r="D27" s="12" t="s">
        <v>24</v>
      </c>
      <c r="E27" s="13" t="s">
        <v>372</v>
      </c>
      <c r="F27" s="22" t="s">
        <v>4</v>
      </c>
      <c r="G27" s="13" t="s">
        <v>0</v>
      </c>
      <c r="H27" s="12" t="s">
        <v>356</v>
      </c>
      <c r="I27" s="11">
        <v>1000</v>
      </c>
      <c r="J27" s="10"/>
      <c r="K27" s="9">
        <v>1000</v>
      </c>
      <c r="L27" s="8">
        <f t="shared" si="0"/>
        <v>0</v>
      </c>
    </row>
    <row r="28" spans="1:12" ht="165.75" customHeight="1" thickBot="1" x14ac:dyDescent="0.3">
      <c r="A28" s="47"/>
      <c r="B28" s="24" t="s">
        <v>95</v>
      </c>
      <c r="C28" s="12" t="s">
        <v>15</v>
      </c>
      <c r="D28" s="12" t="s">
        <v>24</v>
      </c>
      <c r="E28" s="13" t="s">
        <v>96</v>
      </c>
      <c r="F28" s="22" t="s">
        <v>4</v>
      </c>
      <c r="G28" s="13" t="s">
        <v>0</v>
      </c>
      <c r="H28" s="12" t="s">
        <v>356</v>
      </c>
      <c r="I28" s="11">
        <v>1500</v>
      </c>
      <c r="J28" s="10">
        <v>1000</v>
      </c>
      <c r="K28" s="9">
        <v>500</v>
      </c>
      <c r="L28" s="8">
        <f t="shared" si="0"/>
        <v>0</v>
      </c>
    </row>
    <row r="29" spans="1:12" ht="165.75" customHeight="1" thickBot="1" x14ac:dyDescent="0.3">
      <c r="A29" s="47"/>
      <c r="B29" s="24" t="s">
        <v>38</v>
      </c>
      <c r="C29" s="12" t="s">
        <v>27</v>
      </c>
      <c r="D29" s="12" t="s">
        <v>24</v>
      </c>
      <c r="E29" s="13" t="s">
        <v>39</v>
      </c>
      <c r="F29" s="22" t="s">
        <v>4</v>
      </c>
      <c r="G29" s="13" t="s">
        <v>0</v>
      </c>
      <c r="H29" s="12" t="s">
        <v>340</v>
      </c>
      <c r="I29" s="11">
        <v>3500</v>
      </c>
      <c r="J29" s="10">
        <v>1000</v>
      </c>
      <c r="K29" s="9">
        <v>2500</v>
      </c>
      <c r="L29" s="8">
        <f t="shared" si="0"/>
        <v>0</v>
      </c>
    </row>
    <row r="30" spans="1:12" ht="165.75" customHeight="1" thickBot="1" x14ac:dyDescent="0.3">
      <c r="A30" s="47"/>
      <c r="B30" s="24" t="s">
        <v>77</v>
      </c>
      <c r="C30" s="12" t="s">
        <v>27</v>
      </c>
      <c r="D30" s="12" t="s">
        <v>24</v>
      </c>
      <c r="E30" s="13" t="s">
        <v>76</v>
      </c>
      <c r="F30" s="22" t="s">
        <v>4</v>
      </c>
      <c r="G30" s="13" t="s">
        <v>0</v>
      </c>
      <c r="H30" s="12" t="s">
        <v>340</v>
      </c>
      <c r="I30" s="11">
        <v>2000</v>
      </c>
      <c r="J30" s="10"/>
      <c r="K30" s="9">
        <v>2000</v>
      </c>
      <c r="L30" s="8">
        <f t="shared" si="0"/>
        <v>0</v>
      </c>
    </row>
    <row r="31" spans="1:12" ht="165.75" customHeight="1" thickBot="1" x14ac:dyDescent="0.3">
      <c r="A31" s="48"/>
      <c r="B31" s="24" t="s">
        <v>77</v>
      </c>
      <c r="C31" s="12" t="s">
        <v>27</v>
      </c>
      <c r="D31" s="12" t="s">
        <v>24</v>
      </c>
      <c r="E31" s="13" t="s">
        <v>39</v>
      </c>
      <c r="F31" s="22" t="s">
        <v>4</v>
      </c>
      <c r="G31" s="13" t="s">
        <v>0</v>
      </c>
      <c r="H31" s="12" t="s">
        <v>340</v>
      </c>
      <c r="I31" s="11">
        <v>1500</v>
      </c>
      <c r="J31" s="10"/>
      <c r="K31" s="9">
        <v>1500</v>
      </c>
      <c r="L31" s="8">
        <f t="shared" si="0"/>
        <v>0</v>
      </c>
    </row>
    <row r="32" spans="1:12" ht="165.75" customHeight="1" thickBot="1" x14ac:dyDescent="0.3">
      <c r="A32" s="46" t="s">
        <v>23</v>
      </c>
      <c r="B32" s="24" t="s">
        <v>223</v>
      </c>
      <c r="C32" s="12" t="s">
        <v>17</v>
      </c>
      <c r="D32" s="12" t="s">
        <v>311</v>
      </c>
      <c r="E32" s="13" t="s">
        <v>313</v>
      </c>
      <c r="F32" s="22" t="s">
        <v>122</v>
      </c>
      <c r="G32" s="13" t="s">
        <v>0</v>
      </c>
      <c r="H32" s="12" t="s">
        <v>340</v>
      </c>
      <c r="I32" s="11">
        <v>3000</v>
      </c>
      <c r="J32" s="10"/>
      <c r="K32" s="9">
        <v>3000</v>
      </c>
      <c r="L32" s="8">
        <f t="shared" si="0"/>
        <v>0</v>
      </c>
    </row>
    <row r="33" spans="1:12" ht="165.75" customHeight="1" thickBot="1" x14ac:dyDescent="0.3">
      <c r="A33" s="47"/>
      <c r="B33" s="24" t="s">
        <v>12</v>
      </c>
      <c r="C33" s="12" t="s">
        <v>6</v>
      </c>
      <c r="D33" s="12" t="s">
        <v>20</v>
      </c>
      <c r="E33" s="13" t="s">
        <v>22</v>
      </c>
      <c r="F33" s="22" t="s">
        <v>4</v>
      </c>
      <c r="G33" s="13" t="s">
        <v>0</v>
      </c>
      <c r="H33" s="12" t="s">
        <v>340</v>
      </c>
      <c r="I33" s="11">
        <v>2500</v>
      </c>
      <c r="J33" s="10">
        <v>2000</v>
      </c>
      <c r="K33" s="9">
        <v>500</v>
      </c>
      <c r="L33" s="8">
        <f t="shared" si="0"/>
        <v>0</v>
      </c>
    </row>
    <row r="34" spans="1:12" ht="165.75" customHeight="1" thickBot="1" x14ac:dyDescent="0.3">
      <c r="A34" s="47"/>
      <c r="B34" s="24" t="s">
        <v>12</v>
      </c>
      <c r="C34" s="12" t="s">
        <v>6</v>
      </c>
      <c r="D34" s="12" t="s">
        <v>20</v>
      </c>
      <c r="E34" s="13" t="s">
        <v>22</v>
      </c>
      <c r="F34" s="22" t="s">
        <v>4</v>
      </c>
      <c r="G34" s="13" t="s">
        <v>0</v>
      </c>
      <c r="H34" s="12" t="s">
        <v>356</v>
      </c>
      <c r="I34" s="11">
        <v>5000</v>
      </c>
      <c r="J34" s="10"/>
      <c r="K34" s="9">
        <v>5000</v>
      </c>
      <c r="L34" s="8">
        <f t="shared" si="0"/>
        <v>0</v>
      </c>
    </row>
    <row r="35" spans="1:12" ht="165.75" customHeight="1" thickBot="1" x14ac:dyDescent="0.3">
      <c r="A35" s="47"/>
      <c r="B35" s="24" t="s">
        <v>21</v>
      </c>
      <c r="C35" s="12" t="s">
        <v>118</v>
      </c>
      <c r="D35" s="12" t="s">
        <v>20</v>
      </c>
      <c r="E35" s="13" t="s">
        <v>222</v>
      </c>
      <c r="F35" s="22" t="s">
        <v>4</v>
      </c>
      <c r="G35" s="13" t="s">
        <v>0</v>
      </c>
      <c r="H35" s="12" t="s">
        <v>356</v>
      </c>
      <c r="I35" s="11">
        <v>5000</v>
      </c>
      <c r="J35" s="10"/>
      <c r="K35" s="9">
        <v>5000</v>
      </c>
      <c r="L35" s="8">
        <f t="shared" si="0"/>
        <v>0</v>
      </c>
    </row>
    <row r="36" spans="1:12" ht="165.75" customHeight="1" thickBot="1" x14ac:dyDescent="0.3">
      <c r="A36" s="48"/>
      <c r="B36" s="24" t="s">
        <v>21</v>
      </c>
      <c r="C36" s="12" t="s">
        <v>3</v>
      </c>
      <c r="D36" s="12" t="s">
        <v>20</v>
      </c>
      <c r="E36" s="13" t="s">
        <v>56</v>
      </c>
      <c r="F36" s="22" t="s">
        <v>9</v>
      </c>
      <c r="G36" s="13" t="s">
        <v>0</v>
      </c>
      <c r="H36" s="12" t="s">
        <v>356</v>
      </c>
      <c r="I36" s="11">
        <v>15000</v>
      </c>
      <c r="J36" s="10">
        <v>2000</v>
      </c>
      <c r="K36" s="9">
        <v>13000</v>
      </c>
      <c r="L36" s="8">
        <f t="shared" si="0"/>
        <v>0</v>
      </c>
    </row>
    <row r="37" spans="1:12" ht="165.75" customHeight="1" thickBot="1" x14ac:dyDescent="0.3">
      <c r="A37" s="46" t="s">
        <v>19</v>
      </c>
      <c r="B37" s="24" t="s">
        <v>7</v>
      </c>
      <c r="C37" s="12" t="s">
        <v>17</v>
      </c>
      <c r="D37" s="12" t="s">
        <v>120</v>
      </c>
      <c r="E37" s="13" t="s">
        <v>121</v>
      </c>
      <c r="F37" s="22" t="s">
        <v>122</v>
      </c>
      <c r="G37" s="13" t="s">
        <v>0</v>
      </c>
      <c r="H37" s="12" t="s">
        <v>340</v>
      </c>
      <c r="I37" s="11">
        <v>10000</v>
      </c>
      <c r="J37" s="10">
        <v>2000</v>
      </c>
      <c r="K37" s="9">
        <v>8000</v>
      </c>
      <c r="L37" s="8">
        <f t="shared" si="0"/>
        <v>0</v>
      </c>
    </row>
    <row r="38" spans="1:12" ht="165.75" customHeight="1" thickBot="1" x14ac:dyDescent="0.3">
      <c r="A38" s="47"/>
      <c r="B38" s="24" t="s">
        <v>7</v>
      </c>
      <c r="C38" s="12" t="s">
        <v>15</v>
      </c>
      <c r="D38" s="12" t="s">
        <v>14</v>
      </c>
      <c r="E38" s="13" t="s">
        <v>58</v>
      </c>
      <c r="F38" s="22" t="s">
        <v>4</v>
      </c>
      <c r="G38" s="13" t="s">
        <v>0</v>
      </c>
      <c r="H38" s="12" t="s">
        <v>356</v>
      </c>
      <c r="I38" s="11">
        <v>460</v>
      </c>
      <c r="J38" s="10"/>
      <c r="K38" s="9">
        <v>460</v>
      </c>
      <c r="L38" s="8">
        <f t="shared" si="0"/>
        <v>0</v>
      </c>
    </row>
    <row r="39" spans="1:12" ht="165.75" customHeight="1" thickBot="1" x14ac:dyDescent="0.3">
      <c r="A39" s="47"/>
      <c r="B39" s="24" t="s">
        <v>7</v>
      </c>
      <c r="C39" s="12" t="s">
        <v>15</v>
      </c>
      <c r="D39" s="12" t="s">
        <v>14</v>
      </c>
      <c r="E39" s="13" t="s">
        <v>13</v>
      </c>
      <c r="F39" s="22" t="s">
        <v>4</v>
      </c>
      <c r="G39" s="13" t="s">
        <v>0</v>
      </c>
      <c r="H39" s="12" t="s">
        <v>356</v>
      </c>
      <c r="I39" s="11">
        <v>3000</v>
      </c>
      <c r="J39" s="10">
        <v>1000</v>
      </c>
      <c r="K39" s="9">
        <v>2000</v>
      </c>
      <c r="L39" s="8">
        <f t="shared" si="0"/>
        <v>0</v>
      </c>
    </row>
    <row r="40" spans="1:12" ht="165.75" customHeight="1" thickBot="1" x14ac:dyDescent="0.3">
      <c r="A40" s="47"/>
      <c r="B40" s="24" t="s">
        <v>12</v>
      </c>
      <c r="C40" s="12" t="s">
        <v>118</v>
      </c>
      <c r="D40" s="12" t="s">
        <v>123</v>
      </c>
      <c r="E40" s="13" t="s">
        <v>124</v>
      </c>
      <c r="F40" s="22" t="s">
        <v>4</v>
      </c>
      <c r="G40" s="13" t="s">
        <v>0</v>
      </c>
      <c r="H40" s="12" t="s">
        <v>356</v>
      </c>
      <c r="I40" s="11">
        <v>2000</v>
      </c>
      <c r="J40" s="10">
        <v>1000</v>
      </c>
      <c r="K40" s="9">
        <v>1000</v>
      </c>
      <c r="L40" s="8">
        <f t="shared" si="0"/>
        <v>0</v>
      </c>
    </row>
    <row r="41" spans="1:12" ht="165.75" customHeight="1" thickBot="1" x14ac:dyDescent="0.3">
      <c r="A41" s="47"/>
      <c r="B41" s="24" t="s">
        <v>12</v>
      </c>
      <c r="C41" s="12" t="s">
        <v>3</v>
      </c>
      <c r="D41" s="12" t="s">
        <v>11</v>
      </c>
      <c r="E41" s="13" t="s">
        <v>10</v>
      </c>
      <c r="F41" s="22" t="s">
        <v>4</v>
      </c>
      <c r="G41" s="13" t="s">
        <v>37</v>
      </c>
      <c r="H41" s="12" t="s">
        <v>356</v>
      </c>
      <c r="I41" s="11">
        <v>300</v>
      </c>
      <c r="J41" s="10"/>
      <c r="K41" s="9">
        <v>300</v>
      </c>
      <c r="L41" s="8">
        <f t="shared" si="0"/>
        <v>0</v>
      </c>
    </row>
    <row r="42" spans="1:12" ht="165.75" customHeight="1" thickBot="1" x14ac:dyDescent="0.3">
      <c r="A42" s="47"/>
      <c r="B42" s="24" t="s">
        <v>12</v>
      </c>
      <c r="C42" s="12" t="s">
        <v>3</v>
      </c>
      <c r="D42" s="12" t="s">
        <v>11</v>
      </c>
      <c r="E42" s="13" t="s">
        <v>10</v>
      </c>
      <c r="F42" s="22" t="s">
        <v>9</v>
      </c>
      <c r="G42" s="13" t="s">
        <v>0</v>
      </c>
      <c r="H42" s="12" t="s">
        <v>356</v>
      </c>
      <c r="I42" s="11">
        <v>5000</v>
      </c>
      <c r="J42" s="10">
        <v>2000</v>
      </c>
      <c r="K42" s="9">
        <v>3000</v>
      </c>
      <c r="L42" s="8">
        <f t="shared" si="0"/>
        <v>0</v>
      </c>
    </row>
    <row r="43" spans="1:12" ht="165.75" customHeight="1" thickBot="1" x14ac:dyDescent="0.3">
      <c r="A43" s="47"/>
      <c r="B43" s="24" t="s">
        <v>12</v>
      </c>
      <c r="C43" s="12" t="s">
        <v>3</v>
      </c>
      <c r="D43" s="12" t="s">
        <v>11</v>
      </c>
      <c r="E43" s="13" t="s">
        <v>10</v>
      </c>
      <c r="F43" s="22" t="s">
        <v>4</v>
      </c>
      <c r="G43" s="13" t="s">
        <v>0</v>
      </c>
      <c r="H43" s="12" t="s">
        <v>356</v>
      </c>
      <c r="I43" s="11">
        <v>10000</v>
      </c>
      <c r="J43" s="10"/>
      <c r="K43" s="9">
        <v>10000</v>
      </c>
      <c r="L43" s="8">
        <f t="shared" si="0"/>
        <v>0</v>
      </c>
    </row>
    <row r="44" spans="1:12" ht="165.75" customHeight="1" thickBot="1" x14ac:dyDescent="0.3">
      <c r="A44" s="47"/>
      <c r="B44" s="24" t="s">
        <v>7</v>
      </c>
      <c r="C44" s="12" t="s">
        <v>6</v>
      </c>
      <c r="D44" s="12" t="s">
        <v>1</v>
      </c>
      <c r="E44" s="13" t="s">
        <v>5</v>
      </c>
      <c r="F44" s="22" t="s">
        <v>4</v>
      </c>
      <c r="G44" s="13" t="s">
        <v>0</v>
      </c>
      <c r="H44" s="12" t="s">
        <v>356</v>
      </c>
      <c r="I44" s="11">
        <v>5000</v>
      </c>
      <c r="J44" s="10">
        <v>2000</v>
      </c>
      <c r="K44" s="9">
        <v>3000</v>
      </c>
      <c r="L44" s="8">
        <f t="shared" si="0"/>
        <v>0</v>
      </c>
    </row>
    <row r="45" spans="1:12" ht="165.75" customHeight="1" thickBot="1" x14ac:dyDescent="0.3">
      <c r="A45" s="48"/>
      <c r="B45" s="24" t="s">
        <v>194</v>
      </c>
      <c r="C45" s="12" t="s">
        <v>118</v>
      </c>
      <c r="D45" s="12" t="s">
        <v>1</v>
      </c>
      <c r="E45" s="13" t="s">
        <v>216</v>
      </c>
      <c r="F45" s="22" t="s">
        <v>122</v>
      </c>
      <c r="G45" s="13" t="s">
        <v>0</v>
      </c>
      <c r="H45" s="12" t="s">
        <v>356</v>
      </c>
      <c r="I45" s="11">
        <v>5000</v>
      </c>
      <c r="J45" s="10">
        <v>1000</v>
      </c>
      <c r="K45" s="9">
        <v>4000</v>
      </c>
      <c r="L45" s="8">
        <f t="shared" si="0"/>
        <v>0</v>
      </c>
    </row>
  </sheetData>
  <autoFilter ref="A2:L45"/>
  <dataConsolidate/>
  <mergeCells count="5">
    <mergeCell ref="A32:A36"/>
    <mergeCell ref="A37:A45"/>
    <mergeCell ref="A1:L1"/>
    <mergeCell ref="A3:A20"/>
    <mergeCell ref="A21:A31"/>
  </mergeCells>
  <conditionalFormatting sqref="I2:I24 K3:L24">
    <cfRule type="cellIs" dxfId="66" priority="3" operator="lessThan">
      <formula>0</formula>
    </cfRule>
  </conditionalFormatting>
  <conditionalFormatting sqref="L2">
    <cfRule type="cellIs" dxfId="65" priority="2" operator="lessThan">
      <formula>0</formula>
    </cfRule>
  </conditionalFormatting>
  <conditionalFormatting sqref="I25:I45 K25:L45">
    <cfRule type="cellIs" dxfId="64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26"/>
  <sheetViews>
    <sheetView showGridLines="0" view="pageBreakPreview" zoomScale="20" zoomScaleNormal="15" zoomScaleSheetLayoutView="20" workbookViewId="0">
      <selection activeCell="K18" sqref="K18:K26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373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370</v>
      </c>
      <c r="I3" s="11">
        <v>3000</v>
      </c>
      <c r="J3" s="10"/>
      <c r="K3" s="9">
        <v>3000</v>
      </c>
      <c r="L3" s="8">
        <f t="shared" ref="L3:L26" si="0">K3+J3-I3</f>
        <v>0</v>
      </c>
    </row>
    <row r="4" spans="1:12" ht="162" customHeight="1" thickBot="1" x14ac:dyDescent="0.3">
      <c r="A4" s="47"/>
      <c r="B4" s="13" t="s">
        <v>136</v>
      </c>
      <c r="C4" s="12" t="s">
        <v>118</v>
      </c>
      <c r="D4" s="12" t="s">
        <v>126</v>
      </c>
      <c r="E4" s="13" t="s">
        <v>221</v>
      </c>
      <c r="F4" s="22" t="s">
        <v>122</v>
      </c>
      <c r="G4" s="13" t="s">
        <v>0</v>
      </c>
      <c r="H4" s="12" t="s">
        <v>370</v>
      </c>
      <c r="I4" s="11">
        <v>2000</v>
      </c>
      <c r="J4" s="10"/>
      <c r="K4" s="9">
        <v>2000</v>
      </c>
      <c r="L4" s="8">
        <f t="shared" si="0"/>
        <v>0</v>
      </c>
    </row>
    <row r="5" spans="1:12" ht="162" customHeight="1" thickBot="1" x14ac:dyDescent="0.3">
      <c r="A5" s="47"/>
      <c r="B5" s="13" t="s">
        <v>35</v>
      </c>
      <c r="C5" s="12" t="s">
        <v>34</v>
      </c>
      <c r="D5" s="12" t="s">
        <v>24</v>
      </c>
      <c r="E5" s="13" t="s">
        <v>33</v>
      </c>
      <c r="F5" s="22" t="s">
        <v>4</v>
      </c>
      <c r="G5" s="13" t="s">
        <v>0</v>
      </c>
      <c r="H5" s="12" t="s">
        <v>356</v>
      </c>
      <c r="I5" s="11">
        <v>2000</v>
      </c>
      <c r="J5" s="10"/>
      <c r="K5" s="9">
        <v>2000</v>
      </c>
      <c r="L5" s="8">
        <f t="shared" si="0"/>
        <v>0</v>
      </c>
    </row>
    <row r="6" spans="1:12" ht="162" customHeight="1" thickBot="1" x14ac:dyDescent="0.3">
      <c r="A6" s="47"/>
      <c r="B6" s="13" t="s">
        <v>371</v>
      </c>
      <c r="C6" s="12" t="s">
        <v>113</v>
      </c>
      <c r="D6" s="12" t="s">
        <v>24</v>
      </c>
      <c r="E6" s="13" t="s">
        <v>273</v>
      </c>
      <c r="F6" s="22" t="s">
        <v>4</v>
      </c>
      <c r="G6" s="13" t="s">
        <v>0</v>
      </c>
      <c r="H6" s="12" t="s">
        <v>356</v>
      </c>
      <c r="I6" s="11">
        <v>794</v>
      </c>
      <c r="J6" s="10"/>
      <c r="K6" s="9">
        <v>794</v>
      </c>
      <c r="L6" s="8">
        <f t="shared" si="0"/>
        <v>0</v>
      </c>
    </row>
    <row r="7" spans="1:12" ht="162" customHeight="1" thickBot="1" x14ac:dyDescent="0.3">
      <c r="A7" s="47"/>
      <c r="B7" s="13" t="s">
        <v>371</v>
      </c>
      <c r="C7" s="12" t="s">
        <v>113</v>
      </c>
      <c r="D7" s="12" t="s">
        <v>24</v>
      </c>
      <c r="E7" s="13" t="s">
        <v>372</v>
      </c>
      <c r="F7" s="22" t="s">
        <v>4</v>
      </c>
      <c r="G7" s="13" t="s">
        <v>0</v>
      </c>
      <c r="H7" s="12" t="s">
        <v>356</v>
      </c>
      <c r="I7" s="11">
        <v>1137</v>
      </c>
      <c r="J7" s="10"/>
      <c r="K7" s="9">
        <v>1137</v>
      </c>
      <c r="L7" s="8">
        <f t="shared" si="0"/>
        <v>0</v>
      </c>
    </row>
    <row r="8" spans="1:12" ht="162" customHeight="1" thickBot="1" x14ac:dyDescent="0.3">
      <c r="A8" s="47"/>
      <c r="B8" s="13" t="s">
        <v>32</v>
      </c>
      <c r="C8" s="12" t="s">
        <v>31</v>
      </c>
      <c r="D8" s="12" t="s">
        <v>24</v>
      </c>
      <c r="E8" s="13" t="s">
        <v>97</v>
      </c>
      <c r="F8" s="22" t="s">
        <v>4</v>
      </c>
      <c r="G8" s="13" t="s">
        <v>0</v>
      </c>
      <c r="H8" s="12" t="s">
        <v>356</v>
      </c>
      <c r="I8" s="11">
        <v>1543</v>
      </c>
      <c r="J8" s="10"/>
      <c r="K8" s="9">
        <v>1543</v>
      </c>
      <c r="L8" s="8">
        <f t="shared" si="0"/>
        <v>0</v>
      </c>
    </row>
    <row r="9" spans="1:12" ht="162" customHeight="1" thickBot="1" x14ac:dyDescent="0.3">
      <c r="A9" s="48"/>
      <c r="B9" s="13" t="s">
        <v>32</v>
      </c>
      <c r="C9" s="12" t="s">
        <v>31</v>
      </c>
      <c r="D9" s="12" t="s">
        <v>24</v>
      </c>
      <c r="E9" s="13" t="s">
        <v>78</v>
      </c>
      <c r="F9" s="22" t="s">
        <v>4</v>
      </c>
      <c r="G9" s="13" t="s">
        <v>0</v>
      </c>
      <c r="H9" s="12" t="s">
        <v>356</v>
      </c>
      <c r="I9" s="11">
        <v>1800</v>
      </c>
      <c r="J9" s="10"/>
      <c r="K9" s="9">
        <v>1800</v>
      </c>
      <c r="L9" s="8">
        <f t="shared" si="0"/>
        <v>0</v>
      </c>
    </row>
    <row r="10" spans="1:12" ht="165.75" customHeight="1" thickBot="1" x14ac:dyDescent="0.3">
      <c r="A10" s="46" t="s">
        <v>36</v>
      </c>
      <c r="B10" s="24" t="s">
        <v>99</v>
      </c>
      <c r="C10" s="12" t="s">
        <v>100</v>
      </c>
      <c r="D10" s="12" t="s">
        <v>24</v>
      </c>
      <c r="E10" s="13" t="s">
        <v>128</v>
      </c>
      <c r="F10" s="22" t="s">
        <v>102</v>
      </c>
      <c r="G10" s="13" t="s">
        <v>37</v>
      </c>
      <c r="H10" s="12" t="s">
        <v>356</v>
      </c>
      <c r="I10" s="11">
        <v>1000</v>
      </c>
      <c r="J10" s="10"/>
      <c r="K10" s="9">
        <v>1000</v>
      </c>
      <c r="L10" s="8">
        <f t="shared" si="0"/>
        <v>0</v>
      </c>
    </row>
    <row r="11" spans="1:12" ht="165.75" customHeight="1" thickBot="1" x14ac:dyDescent="0.3">
      <c r="A11" s="47"/>
      <c r="B11" s="24" t="s">
        <v>35</v>
      </c>
      <c r="C11" s="12" t="s">
        <v>34</v>
      </c>
      <c r="D11" s="12" t="s">
        <v>24</v>
      </c>
      <c r="E11" s="13" t="s">
        <v>33</v>
      </c>
      <c r="F11" s="22" t="s">
        <v>4</v>
      </c>
      <c r="G11" s="13" t="s">
        <v>0</v>
      </c>
      <c r="H11" s="12" t="s">
        <v>356</v>
      </c>
      <c r="I11" s="11">
        <v>1000</v>
      </c>
      <c r="J11" s="10"/>
      <c r="K11" s="9">
        <v>1000</v>
      </c>
      <c r="L11" s="8">
        <f t="shared" si="0"/>
        <v>0</v>
      </c>
    </row>
    <row r="12" spans="1:12" ht="165.75" customHeight="1" thickBot="1" x14ac:dyDescent="0.3">
      <c r="A12" s="47"/>
      <c r="B12" s="24" t="s">
        <v>32</v>
      </c>
      <c r="C12" s="12" t="s">
        <v>31</v>
      </c>
      <c r="D12" s="12" t="s">
        <v>24</v>
      </c>
      <c r="E12" s="13" t="s">
        <v>97</v>
      </c>
      <c r="F12" s="22" t="s">
        <v>4</v>
      </c>
      <c r="G12" s="13" t="s">
        <v>0</v>
      </c>
      <c r="H12" s="12" t="s">
        <v>356</v>
      </c>
      <c r="I12" s="11">
        <v>1543</v>
      </c>
      <c r="J12" s="10"/>
      <c r="K12" s="9">
        <v>1543</v>
      </c>
      <c r="L12" s="8">
        <f t="shared" si="0"/>
        <v>0</v>
      </c>
    </row>
    <row r="13" spans="1:12" ht="165.75" customHeight="1" thickBot="1" x14ac:dyDescent="0.3">
      <c r="A13" s="47"/>
      <c r="B13" s="24" t="s">
        <v>32</v>
      </c>
      <c r="C13" s="12" t="s">
        <v>31</v>
      </c>
      <c r="D13" s="12" t="s">
        <v>24</v>
      </c>
      <c r="E13" s="13" t="s">
        <v>116</v>
      </c>
      <c r="F13" s="22" t="s">
        <v>9</v>
      </c>
      <c r="G13" s="13" t="s">
        <v>0</v>
      </c>
      <c r="H13" s="12" t="s">
        <v>370</v>
      </c>
      <c r="I13" s="11">
        <v>3000</v>
      </c>
      <c r="J13" s="10"/>
      <c r="K13" s="9">
        <v>3000</v>
      </c>
      <c r="L13" s="8">
        <f t="shared" si="0"/>
        <v>0</v>
      </c>
    </row>
    <row r="14" spans="1:12" ht="165.75" customHeight="1" thickBot="1" x14ac:dyDescent="0.3">
      <c r="A14" s="47"/>
      <c r="B14" s="24" t="s">
        <v>40</v>
      </c>
      <c r="C14" s="12" t="s">
        <v>27</v>
      </c>
      <c r="D14" s="12" t="s">
        <v>24</v>
      </c>
      <c r="E14" s="13" t="s">
        <v>197</v>
      </c>
      <c r="F14" s="22" t="s">
        <v>4</v>
      </c>
      <c r="G14" s="13" t="s">
        <v>0</v>
      </c>
      <c r="H14" s="12" t="s">
        <v>356</v>
      </c>
      <c r="I14" s="11">
        <v>2340</v>
      </c>
      <c r="J14" s="10"/>
      <c r="K14" s="9">
        <v>2340</v>
      </c>
      <c r="L14" s="8">
        <f t="shared" si="0"/>
        <v>0</v>
      </c>
    </row>
    <row r="15" spans="1:12" ht="165.75" customHeight="1" thickBot="1" x14ac:dyDescent="0.3">
      <c r="A15" s="47"/>
      <c r="B15" s="24" t="s">
        <v>40</v>
      </c>
      <c r="C15" s="12" t="s">
        <v>27</v>
      </c>
      <c r="D15" s="12" t="s">
        <v>24</v>
      </c>
      <c r="E15" s="13" t="s">
        <v>76</v>
      </c>
      <c r="F15" s="22" t="s">
        <v>4</v>
      </c>
      <c r="G15" s="13" t="s">
        <v>0</v>
      </c>
      <c r="H15" s="12" t="s">
        <v>356</v>
      </c>
      <c r="I15" s="11">
        <v>1000</v>
      </c>
      <c r="J15" s="10"/>
      <c r="K15" s="9">
        <v>1000</v>
      </c>
      <c r="L15" s="8">
        <f t="shared" si="0"/>
        <v>0</v>
      </c>
    </row>
    <row r="16" spans="1:12" ht="165.75" customHeight="1" thickBot="1" x14ac:dyDescent="0.3">
      <c r="A16" s="47"/>
      <c r="B16" s="24" t="s">
        <v>40</v>
      </c>
      <c r="C16" s="12" t="s">
        <v>27</v>
      </c>
      <c r="D16" s="12" t="s">
        <v>24</v>
      </c>
      <c r="E16" s="13" t="s">
        <v>39</v>
      </c>
      <c r="F16" s="22" t="s">
        <v>4</v>
      </c>
      <c r="G16" s="13" t="s">
        <v>0</v>
      </c>
      <c r="H16" s="12" t="s">
        <v>356</v>
      </c>
      <c r="I16" s="11">
        <v>1234</v>
      </c>
      <c r="J16" s="10"/>
      <c r="K16" s="9">
        <v>1234</v>
      </c>
      <c r="L16" s="8">
        <f t="shared" si="0"/>
        <v>0</v>
      </c>
    </row>
    <row r="17" spans="1:12" ht="165.75" customHeight="1" thickBot="1" x14ac:dyDescent="0.3">
      <c r="A17" s="40"/>
      <c r="B17" s="24" t="s">
        <v>95</v>
      </c>
      <c r="C17" s="12" t="s">
        <v>15</v>
      </c>
      <c r="D17" s="12" t="s">
        <v>24</v>
      </c>
      <c r="E17" s="13" t="s">
        <v>96</v>
      </c>
      <c r="F17" s="22" t="s">
        <v>4</v>
      </c>
      <c r="G17" s="13" t="s">
        <v>0</v>
      </c>
      <c r="H17" s="12" t="s">
        <v>356</v>
      </c>
      <c r="I17" s="11">
        <v>1038</v>
      </c>
      <c r="J17" s="10"/>
      <c r="K17" s="9">
        <v>1038</v>
      </c>
      <c r="L17" s="8">
        <f t="shared" si="0"/>
        <v>0</v>
      </c>
    </row>
    <row r="18" spans="1:12" ht="165.75" customHeight="1" thickBot="1" x14ac:dyDescent="0.3">
      <c r="A18" s="46" t="s">
        <v>23</v>
      </c>
      <c r="B18" s="24" t="s">
        <v>223</v>
      </c>
      <c r="C18" s="12" t="s">
        <v>17</v>
      </c>
      <c r="D18" s="12" t="s">
        <v>311</v>
      </c>
      <c r="E18" s="13" t="s">
        <v>312</v>
      </c>
      <c r="F18" s="22" t="s">
        <v>122</v>
      </c>
      <c r="G18" s="13" t="s">
        <v>0</v>
      </c>
      <c r="H18" s="12" t="s">
        <v>374</v>
      </c>
      <c r="I18" s="11">
        <v>1533</v>
      </c>
      <c r="J18" s="10"/>
      <c r="K18" s="9">
        <v>1533</v>
      </c>
      <c r="L18" s="8">
        <f t="shared" si="0"/>
        <v>0</v>
      </c>
    </row>
    <row r="19" spans="1:12" ht="165.75" customHeight="1" thickBot="1" x14ac:dyDescent="0.3">
      <c r="A19" s="47"/>
      <c r="B19" s="24" t="s">
        <v>12</v>
      </c>
      <c r="C19" s="12" t="s">
        <v>6</v>
      </c>
      <c r="D19" s="12" t="s">
        <v>20</v>
      </c>
      <c r="E19" s="13" t="s">
        <v>22</v>
      </c>
      <c r="F19" s="22" t="s">
        <v>4</v>
      </c>
      <c r="G19" s="13" t="s">
        <v>0</v>
      </c>
      <c r="H19" s="12" t="s">
        <v>356</v>
      </c>
      <c r="I19" s="11">
        <v>2869</v>
      </c>
      <c r="J19" s="10"/>
      <c r="K19" s="9">
        <v>2869</v>
      </c>
      <c r="L19" s="8">
        <f t="shared" si="0"/>
        <v>0</v>
      </c>
    </row>
    <row r="20" spans="1:12" ht="165.75" customHeight="1" thickBot="1" x14ac:dyDescent="0.3">
      <c r="A20" s="47"/>
      <c r="B20" s="24" t="s">
        <v>21</v>
      </c>
      <c r="C20" s="12" t="s">
        <v>118</v>
      </c>
      <c r="D20" s="12" t="s">
        <v>20</v>
      </c>
      <c r="E20" s="13" t="s">
        <v>119</v>
      </c>
      <c r="F20" s="22" t="s">
        <v>4</v>
      </c>
      <c r="G20" s="13" t="s">
        <v>0</v>
      </c>
      <c r="H20" s="12" t="s">
        <v>356</v>
      </c>
      <c r="I20" s="11">
        <v>1524</v>
      </c>
      <c r="J20" s="10"/>
      <c r="K20" s="9">
        <v>1524</v>
      </c>
      <c r="L20" s="8">
        <f t="shared" si="0"/>
        <v>0</v>
      </c>
    </row>
    <row r="21" spans="1:12" ht="165.75" customHeight="1" thickBot="1" x14ac:dyDescent="0.3">
      <c r="A21" s="48"/>
      <c r="B21" s="24" t="s">
        <v>21</v>
      </c>
      <c r="C21" s="12" t="s">
        <v>3</v>
      </c>
      <c r="D21" s="12" t="s">
        <v>20</v>
      </c>
      <c r="E21" s="13" t="s">
        <v>56</v>
      </c>
      <c r="F21" s="22" t="s">
        <v>9</v>
      </c>
      <c r="G21" s="13" t="s">
        <v>0</v>
      </c>
      <c r="H21" s="12" t="s">
        <v>370</v>
      </c>
      <c r="I21" s="11">
        <v>5000</v>
      </c>
      <c r="J21" s="10"/>
      <c r="K21" s="9">
        <v>5000</v>
      </c>
      <c r="L21" s="8">
        <f t="shared" si="0"/>
        <v>0</v>
      </c>
    </row>
    <row r="22" spans="1:12" ht="165.75" customHeight="1" thickBot="1" x14ac:dyDescent="0.3">
      <c r="A22" s="46" t="s">
        <v>19</v>
      </c>
      <c r="B22" s="24" t="s">
        <v>18</v>
      </c>
      <c r="C22" s="12" t="s">
        <v>17</v>
      </c>
      <c r="D22" s="12" t="s">
        <v>14</v>
      </c>
      <c r="E22" s="13" t="s">
        <v>16</v>
      </c>
      <c r="F22" s="22" t="s">
        <v>4</v>
      </c>
      <c r="G22" s="13" t="s">
        <v>0</v>
      </c>
      <c r="H22" s="12" t="s">
        <v>356</v>
      </c>
      <c r="I22" s="11">
        <v>2901</v>
      </c>
      <c r="J22" s="10"/>
      <c r="K22" s="9">
        <v>2901</v>
      </c>
      <c r="L22" s="8">
        <f t="shared" si="0"/>
        <v>0</v>
      </c>
    </row>
    <row r="23" spans="1:12" ht="165.75" customHeight="1" thickBot="1" x14ac:dyDescent="0.3">
      <c r="A23" s="47"/>
      <c r="B23" s="24" t="s">
        <v>7</v>
      </c>
      <c r="C23" s="12" t="s">
        <v>15</v>
      </c>
      <c r="D23" s="12" t="s">
        <v>14</v>
      </c>
      <c r="E23" s="13" t="s">
        <v>13</v>
      </c>
      <c r="F23" s="22" t="s">
        <v>4</v>
      </c>
      <c r="G23" s="13" t="s">
        <v>0</v>
      </c>
      <c r="H23" s="12" t="s">
        <v>356</v>
      </c>
      <c r="I23" s="11">
        <v>3560</v>
      </c>
      <c r="J23" s="10"/>
      <c r="K23" s="9">
        <f>2000+1560</f>
        <v>3560</v>
      </c>
      <c r="L23" s="8">
        <f t="shared" si="0"/>
        <v>0</v>
      </c>
    </row>
    <row r="24" spans="1:12" ht="165.75" customHeight="1" thickBot="1" x14ac:dyDescent="0.3">
      <c r="A24" s="47"/>
      <c r="B24" s="24" t="s">
        <v>12</v>
      </c>
      <c r="C24" s="12" t="s">
        <v>118</v>
      </c>
      <c r="D24" s="12" t="s">
        <v>123</v>
      </c>
      <c r="E24" s="13" t="s">
        <v>124</v>
      </c>
      <c r="F24" s="22" t="s">
        <v>4</v>
      </c>
      <c r="G24" s="13" t="s">
        <v>0</v>
      </c>
      <c r="H24" s="12" t="s">
        <v>356</v>
      </c>
      <c r="I24" s="11">
        <v>2180</v>
      </c>
      <c r="J24" s="10"/>
      <c r="K24" s="9">
        <v>2180</v>
      </c>
      <c r="L24" s="8">
        <f t="shared" si="0"/>
        <v>0</v>
      </c>
    </row>
    <row r="25" spans="1:12" ht="165.75" customHeight="1" thickBot="1" x14ac:dyDescent="0.3">
      <c r="A25" s="47"/>
      <c r="B25" s="24" t="s">
        <v>12</v>
      </c>
      <c r="C25" s="12" t="s">
        <v>118</v>
      </c>
      <c r="D25" s="12" t="s">
        <v>123</v>
      </c>
      <c r="E25" s="13" t="s">
        <v>124</v>
      </c>
      <c r="F25" s="22" t="s">
        <v>9</v>
      </c>
      <c r="G25" s="13" t="s">
        <v>0</v>
      </c>
      <c r="H25" s="12" t="s">
        <v>356</v>
      </c>
      <c r="I25" s="11">
        <v>1500</v>
      </c>
      <c r="J25" s="10"/>
      <c r="K25" s="9">
        <v>1500</v>
      </c>
      <c r="L25" s="8">
        <f t="shared" si="0"/>
        <v>0</v>
      </c>
    </row>
    <row r="26" spans="1:12" ht="165.75" customHeight="1" thickBot="1" x14ac:dyDescent="0.3">
      <c r="A26" s="47"/>
      <c r="B26" s="24" t="s">
        <v>7</v>
      </c>
      <c r="C26" s="12" t="s">
        <v>6</v>
      </c>
      <c r="D26" s="12" t="s">
        <v>1</v>
      </c>
      <c r="E26" s="13" t="s">
        <v>5</v>
      </c>
      <c r="F26" s="22" t="s">
        <v>4</v>
      </c>
      <c r="G26" s="13" t="s">
        <v>0</v>
      </c>
      <c r="H26" s="12" t="s">
        <v>356</v>
      </c>
      <c r="I26" s="11">
        <v>5000</v>
      </c>
      <c r="J26" s="10"/>
      <c r="K26" s="9">
        <v>5000</v>
      </c>
      <c r="L26" s="8">
        <f t="shared" si="0"/>
        <v>0</v>
      </c>
    </row>
  </sheetData>
  <autoFilter ref="A2:L25"/>
  <dataConsolidate/>
  <mergeCells count="5">
    <mergeCell ref="A10:A16"/>
    <mergeCell ref="A18:A21"/>
    <mergeCell ref="A22:A26"/>
    <mergeCell ref="A1:L1"/>
    <mergeCell ref="A3:A9"/>
  </mergeCells>
  <conditionalFormatting sqref="I2:I26 K3:L26">
    <cfRule type="cellIs" dxfId="63" priority="3" operator="lessThan">
      <formula>0</formula>
    </cfRule>
  </conditionalFormatting>
  <conditionalFormatting sqref="L2">
    <cfRule type="cellIs" dxfId="62" priority="2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52"/>
  <sheetViews>
    <sheetView showGridLines="0" view="pageBreakPreview" topLeftCell="A43" zoomScale="20" zoomScaleNormal="15" zoomScaleSheetLayoutView="20" workbookViewId="0">
      <selection activeCell="L4" sqref="L4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376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50" t="s">
        <v>41</v>
      </c>
      <c r="B3" s="13" t="s">
        <v>40</v>
      </c>
      <c r="C3" s="12" t="s">
        <v>31</v>
      </c>
      <c r="D3" s="12" t="s">
        <v>126</v>
      </c>
      <c r="E3" s="13" t="s">
        <v>220</v>
      </c>
      <c r="F3" s="22" t="s">
        <v>131</v>
      </c>
      <c r="G3" s="13" t="s">
        <v>37</v>
      </c>
      <c r="H3" s="12" t="s">
        <v>356</v>
      </c>
      <c r="I3" s="11">
        <v>543</v>
      </c>
      <c r="J3" s="10"/>
      <c r="K3" s="9">
        <v>543</v>
      </c>
      <c r="L3" s="8">
        <f t="shared" ref="L3:L52" si="0">K3+J3-I3</f>
        <v>0</v>
      </c>
    </row>
    <row r="4" spans="1:12" ht="162" customHeight="1" thickBot="1" x14ac:dyDescent="0.3">
      <c r="A4" s="50"/>
      <c r="B4" s="13" t="s">
        <v>35</v>
      </c>
      <c r="C4" s="12" t="s">
        <v>34</v>
      </c>
      <c r="D4" s="12" t="s">
        <v>24</v>
      </c>
      <c r="E4" s="13" t="s">
        <v>33</v>
      </c>
      <c r="F4" s="22" t="s">
        <v>4</v>
      </c>
      <c r="G4" s="13" t="s">
        <v>0</v>
      </c>
      <c r="H4" s="12" t="s">
        <v>356</v>
      </c>
      <c r="I4" s="11">
        <v>2550</v>
      </c>
      <c r="J4" s="10">
        <v>1000</v>
      </c>
      <c r="K4" s="9">
        <v>1550</v>
      </c>
      <c r="L4" s="8">
        <f t="shared" si="0"/>
        <v>0</v>
      </c>
    </row>
    <row r="5" spans="1:12" ht="162" customHeight="1" thickBot="1" x14ac:dyDescent="0.3">
      <c r="A5" s="50"/>
      <c r="B5" s="13" t="s">
        <v>95</v>
      </c>
      <c r="C5" s="12" t="s">
        <v>15</v>
      </c>
      <c r="D5" s="12" t="s">
        <v>24</v>
      </c>
      <c r="E5" s="13" t="s">
        <v>96</v>
      </c>
      <c r="F5" s="22" t="s">
        <v>4</v>
      </c>
      <c r="G5" s="13" t="s">
        <v>0</v>
      </c>
      <c r="H5" s="12" t="s">
        <v>356</v>
      </c>
      <c r="I5" s="11">
        <v>1538</v>
      </c>
      <c r="J5" s="10">
        <v>1000</v>
      </c>
      <c r="K5" s="9">
        <v>538</v>
      </c>
      <c r="L5" s="8">
        <f t="shared" si="0"/>
        <v>0</v>
      </c>
    </row>
    <row r="6" spans="1:12" ht="162" customHeight="1" thickBot="1" x14ac:dyDescent="0.3">
      <c r="A6" s="50"/>
      <c r="B6" s="13" t="s">
        <v>77</v>
      </c>
      <c r="C6" s="12" t="s">
        <v>27</v>
      </c>
      <c r="D6" s="12" t="s">
        <v>24</v>
      </c>
      <c r="E6" s="13" t="s">
        <v>76</v>
      </c>
      <c r="F6" s="22" t="s">
        <v>4</v>
      </c>
      <c r="G6" s="13" t="s">
        <v>0</v>
      </c>
      <c r="H6" s="12" t="s">
        <v>356</v>
      </c>
      <c r="I6" s="11">
        <v>1470</v>
      </c>
      <c r="J6" s="10">
        <v>1000</v>
      </c>
      <c r="K6" s="9">
        <v>470</v>
      </c>
      <c r="L6" s="8">
        <f t="shared" si="0"/>
        <v>0</v>
      </c>
    </row>
    <row r="7" spans="1:12" ht="162" customHeight="1" thickBot="1" x14ac:dyDescent="0.3">
      <c r="A7" s="50"/>
      <c r="B7" s="13" t="s">
        <v>77</v>
      </c>
      <c r="C7" s="12" t="s">
        <v>27</v>
      </c>
      <c r="D7" s="12" t="s">
        <v>24</v>
      </c>
      <c r="E7" s="23" t="s">
        <v>377</v>
      </c>
      <c r="F7" s="22" t="s">
        <v>9</v>
      </c>
      <c r="G7" s="13" t="s">
        <v>0</v>
      </c>
      <c r="H7" s="12" t="s">
        <v>370</v>
      </c>
      <c r="I7" s="11">
        <v>3000</v>
      </c>
      <c r="J7" s="10"/>
      <c r="K7" s="9">
        <v>3000</v>
      </c>
      <c r="L7" s="8">
        <f t="shared" si="0"/>
        <v>0</v>
      </c>
    </row>
    <row r="8" spans="1:12" ht="162" customHeight="1" thickBot="1" x14ac:dyDescent="0.3">
      <c r="A8" s="50"/>
      <c r="B8" s="13" t="s">
        <v>32</v>
      </c>
      <c r="C8" s="12" t="s">
        <v>31</v>
      </c>
      <c r="D8" s="12" t="s">
        <v>24</v>
      </c>
      <c r="E8" s="23" t="s">
        <v>297</v>
      </c>
      <c r="F8" s="22" t="s">
        <v>9</v>
      </c>
      <c r="G8" s="13" t="s">
        <v>0</v>
      </c>
      <c r="H8" s="12" t="s">
        <v>370</v>
      </c>
      <c r="I8" s="11">
        <v>1000</v>
      </c>
      <c r="J8" s="10"/>
      <c r="K8" s="9">
        <v>1000</v>
      </c>
      <c r="L8" s="8">
        <f t="shared" si="0"/>
        <v>0</v>
      </c>
    </row>
    <row r="9" spans="1:12" ht="162" customHeight="1" thickBot="1" x14ac:dyDescent="0.3">
      <c r="A9" s="50"/>
      <c r="B9" s="13" t="s">
        <v>77</v>
      </c>
      <c r="C9" s="12" t="s">
        <v>27</v>
      </c>
      <c r="D9" s="12" t="s">
        <v>24</v>
      </c>
      <c r="E9" s="13" t="s">
        <v>39</v>
      </c>
      <c r="F9" s="22" t="s">
        <v>4</v>
      </c>
      <c r="G9" s="13" t="s">
        <v>0</v>
      </c>
      <c r="H9" s="12" t="s">
        <v>356</v>
      </c>
      <c r="I9" s="11">
        <v>1734</v>
      </c>
      <c r="J9" s="10"/>
      <c r="K9" s="9">
        <v>1734</v>
      </c>
      <c r="L9" s="8">
        <f t="shared" si="0"/>
        <v>0</v>
      </c>
    </row>
    <row r="10" spans="1:12" ht="162" customHeight="1" thickBot="1" x14ac:dyDescent="0.3">
      <c r="A10" s="50"/>
      <c r="B10" s="13" t="s">
        <v>77</v>
      </c>
      <c r="C10" s="12" t="s">
        <v>27</v>
      </c>
      <c r="D10" s="12" t="s">
        <v>24</v>
      </c>
      <c r="E10" s="13" t="s">
        <v>197</v>
      </c>
      <c r="F10" s="22" t="s">
        <v>4</v>
      </c>
      <c r="G10" s="13" t="s">
        <v>0</v>
      </c>
      <c r="H10" s="12" t="s">
        <v>356</v>
      </c>
      <c r="I10" s="11">
        <v>1340</v>
      </c>
      <c r="J10" s="10"/>
      <c r="K10" s="9">
        <v>1340</v>
      </c>
      <c r="L10" s="8">
        <f t="shared" si="0"/>
        <v>0</v>
      </c>
    </row>
    <row r="11" spans="1:12" ht="162" customHeight="1" thickBot="1" x14ac:dyDescent="0.3">
      <c r="A11" s="50"/>
      <c r="B11" s="13" t="s">
        <v>32</v>
      </c>
      <c r="C11" s="12" t="s">
        <v>31</v>
      </c>
      <c r="D11" s="12" t="s">
        <v>24</v>
      </c>
      <c r="E11" s="13" t="s">
        <v>116</v>
      </c>
      <c r="F11" s="22" t="s">
        <v>9</v>
      </c>
      <c r="G11" s="13" t="s">
        <v>0</v>
      </c>
      <c r="H11" s="12" t="s">
        <v>370</v>
      </c>
      <c r="I11" s="11">
        <v>3000</v>
      </c>
      <c r="J11" s="10"/>
      <c r="K11" s="9">
        <v>3000</v>
      </c>
      <c r="L11" s="8">
        <f t="shared" si="0"/>
        <v>0</v>
      </c>
    </row>
    <row r="12" spans="1:12" ht="162" customHeight="1" thickBot="1" x14ac:dyDescent="0.3">
      <c r="A12" s="50" t="s">
        <v>36</v>
      </c>
      <c r="B12" s="13" t="s">
        <v>99</v>
      </c>
      <c r="C12" s="12" t="s">
        <v>100</v>
      </c>
      <c r="D12" s="12" t="s">
        <v>24</v>
      </c>
      <c r="E12" s="13" t="s">
        <v>243</v>
      </c>
      <c r="F12" s="22" t="s">
        <v>102</v>
      </c>
      <c r="G12" s="13" t="s">
        <v>37</v>
      </c>
      <c r="H12" s="12" t="s">
        <v>356</v>
      </c>
      <c r="I12" s="11">
        <v>1000</v>
      </c>
      <c r="J12" s="10"/>
      <c r="K12" s="9">
        <v>1000</v>
      </c>
      <c r="L12" s="8">
        <f t="shared" si="0"/>
        <v>0</v>
      </c>
    </row>
    <row r="13" spans="1:12" ht="162" customHeight="1" thickBot="1" x14ac:dyDescent="0.3">
      <c r="A13" s="50"/>
      <c r="B13" s="24" t="s">
        <v>35</v>
      </c>
      <c r="C13" s="12" t="s">
        <v>34</v>
      </c>
      <c r="D13" s="12" t="s">
        <v>24</v>
      </c>
      <c r="E13" s="13" t="s">
        <v>33</v>
      </c>
      <c r="F13" s="22" t="s">
        <v>4</v>
      </c>
      <c r="G13" s="13" t="s">
        <v>0</v>
      </c>
      <c r="H13" s="12" t="s">
        <v>356</v>
      </c>
      <c r="I13" s="11">
        <v>2000</v>
      </c>
      <c r="J13" s="10"/>
      <c r="K13" s="9">
        <v>2000</v>
      </c>
      <c r="L13" s="8">
        <f t="shared" si="0"/>
        <v>0</v>
      </c>
    </row>
    <row r="14" spans="1:12" ht="162" customHeight="1" thickBot="1" x14ac:dyDescent="0.3">
      <c r="A14" s="50"/>
      <c r="B14" s="24" t="s">
        <v>61</v>
      </c>
      <c r="C14" s="12" t="s">
        <v>31</v>
      </c>
      <c r="D14" s="12" t="s">
        <v>24</v>
      </c>
      <c r="E14" s="13" t="s">
        <v>78</v>
      </c>
      <c r="F14" s="22" t="s">
        <v>4</v>
      </c>
      <c r="G14" s="13" t="s">
        <v>0</v>
      </c>
      <c r="H14" s="12" t="s">
        <v>356</v>
      </c>
      <c r="I14" s="11">
        <v>2300</v>
      </c>
      <c r="J14" s="10"/>
      <c r="K14" s="9">
        <v>2300</v>
      </c>
      <c r="L14" s="8">
        <f t="shared" si="0"/>
        <v>0</v>
      </c>
    </row>
    <row r="15" spans="1:12" ht="162" customHeight="1" thickBot="1" x14ac:dyDescent="0.3">
      <c r="A15" s="50"/>
      <c r="B15" s="24" t="s">
        <v>32</v>
      </c>
      <c r="C15" s="12" t="s">
        <v>31</v>
      </c>
      <c r="D15" s="12" t="s">
        <v>24</v>
      </c>
      <c r="E15" s="37" t="s">
        <v>97</v>
      </c>
      <c r="F15" s="22" t="s">
        <v>4</v>
      </c>
      <c r="G15" s="13" t="s">
        <v>0</v>
      </c>
      <c r="H15" s="12" t="s">
        <v>356</v>
      </c>
      <c r="I15" s="11">
        <v>1000</v>
      </c>
      <c r="J15" s="10"/>
      <c r="K15" s="9">
        <v>1000</v>
      </c>
      <c r="L15" s="8">
        <f t="shared" si="0"/>
        <v>0</v>
      </c>
    </row>
    <row r="16" spans="1:12" ht="162" customHeight="1" thickBot="1" x14ac:dyDescent="0.3">
      <c r="A16" s="50"/>
      <c r="B16" s="24" t="s">
        <v>40</v>
      </c>
      <c r="C16" s="12" t="s">
        <v>27</v>
      </c>
      <c r="D16" s="22" t="s">
        <v>24</v>
      </c>
      <c r="E16" s="13" t="s">
        <v>197</v>
      </c>
      <c r="F16" s="22" t="s">
        <v>4</v>
      </c>
      <c r="G16" s="13" t="s">
        <v>0</v>
      </c>
      <c r="H16" s="12" t="s">
        <v>356</v>
      </c>
      <c r="I16" s="11">
        <v>2000</v>
      </c>
      <c r="J16" s="10"/>
      <c r="K16" s="9">
        <v>2000</v>
      </c>
      <c r="L16" s="8">
        <f t="shared" si="0"/>
        <v>0</v>
      </c>
    </row>
    <row r="17" spans="1:12" ht="162" customHeight="1" thickBot="1" x14ac:dyDescent="0.3">
      <c r="A17" s="50"/>
      <c r="B17" s="24" t="s">
        <v>284</v>
      </c>
      <c r="C17" s="12" t="s">
        <v>113</v>
      </c>
      <c r="D17" s="22" t="s">
        <v>24</v>
      </c>
      <c r="E17" s="13" t="s">
        <v>273</v>
      </c>
      <c r="F17" s="22" t="s">
        <v>4</v>
      </c>
      <c r="G17" s="13" t="s">
        <v>0</v>
      </c>
      <c r="H17" s="12" t="s">
        <v>356</v>
      </c>
      <c r="I17" s="11">
        <v>794</v>
      </c>
      <c r="J17" s="10"/>
      <c r="K17" s="9">
        <v>794</v>
      </c>
      <c r="L17" s="8">
        <f t="shared" si="0"/>
        <v>0</v>
      </c>
    </row>
    <row r="18" spans="1:12" ht="162" customHeight="1" thickBot="1" x14ac:dyDescent="0.3">
      <c r="A18" s="50"/>
      <c r="B18" s="24" t="s">
        <v>35</v>
      </c>
      <c r="C18" s="12" t="s">
        <v>34</v>
      </c>
      <c r="D18" s="22" t="s">
        <v>24</v>
      </c>
      <c r="E18" s="23" t="s">
        <v>33</v>
      </c>
      <c r="F18" s="22" t="s">
        <v>4</v>
      </c>
      <c r="G18" s="13" t="s">
        <v>0</v>
      </c>
      <c r="H18" s="12" t="s">
        <v>356</v>
      </c>
      <c r="I18" s="11">
        <v>1550</v>
      </c>
      <c r="J18" s="10"/>
      <c r="K18" s="9">
        <v>1550</v>
      </c>
      <c r="L18" s="8">
        <f t="shared" si="0"/>
        <v>0</v>
      </c>
    </row>
    <row r="19" spans="1:12" ht="162" customHeight="1" thickBot="1" x14ac:dyDescent="0.3">
      <c r="A19" s="50"/>
      <c r="B19" s="24" t="s">
        <v>32</v>
      </c>
      <c r="C19" s="12" t="s">
        <v>31</v>
      </c>
      <c r="D19" s="22" t="s">
        <v>24</v>
      </c>
      <c r="E19" s="23" t="s">
        <v>297</v>
      </c>
      <c r="F19" s="22" t="s">
        <v>9</v>
      </c>
      <c r="G19" s="13" t="s">
        <v>0</v>
      </c>
      <c r="H19" s="12" t="s">
        <v>370</v>
      </c>
      <c r="I19" s="11">
        <v>1000</v>
      </c>
      <c r="J19" s="10"/>
      <c r="K19" s="9">
        <v>1000</v>
      </c>
      <c r="L19" s="8">
        <f t="shared" si="0"/>
        <v>0</v>
      </c>
    </row>
    <row r="20" spans="1:12" ht="162" customHeight="1" thickBot="1" x14ac:dyDescent="0.3">
      <c r="A20" s="50"/>
      <c r="B20" s="24" t="s">
        <v>40</v>
      </c>
      <c r="C20" s="12" t="s">
        <v>27</v>
      </c>
      <c r="D20" s="22" t="s">
        <v>24</v>
      </c>
      <c r="E20" s="23" t="s">
        <v>377</v>
      </c>
      <c r="F20" s="22" t="s">
        <v>9</v>
      </c>
      <c r="G20" s="13" t="s">
        <v>0</v>
      </c>
      <c r="H20" s="12" t="s">
        <v>370</v>
      </c>
      <c r="I20" s="11">
        <v>2000</v>
      </c>
      <c r="J20" s="10"/>
      <c r="K20" s="9">
        <v>2000</v>
      </c>
      <c r="L20" s="8">
        <f t="shared" si="0"/>
        <v>0</v>
      </c>
    </row>
    <row r="21" spans="1:12" ht="162" customHeight="1" thickBot="1" x14ac:dyDescent="0.3">
      <c r="A21" s="50"/>
      <c r="B21" s="24" t="s">
        <v>95</v>
      </c>
      <c r="C21" s="12" t="s">
        <v>15</v>
      </c>
      <c r="D21" s="22" t="s">
        <v>24</v>
      </c>
      <c r="E21" s="23" t="s">
        <v>96</v>
      </c>
      <c r="F21" s="22" t="s">
        <v>4</v>
      </c>
      <c r="G21" s="13" t="s">
        <v>0</v>
      </c>
      <c r="H21" s="12" t="s">
        <v>356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62" customHeight="1" thickBot="1" x14ac:dyDescent="0.3">
      <c r="A22" s="50"/>
      <c r="B22" s="24" t="s">
        <v>284</v>
      </c>
      <c r="C22" s="12" t="s">
        <v>113</v>
      </c>
      <c r="D22" s="12" t="s">
        <v>24</v>
      </c>
      <c r="E22" s="13" t="s">
        <v>372</v>
      </c>
      <c r="F22" s="22" t="s">
        <v>4</v>
      </c>
      <c r="G22" s="13" t="s">
        <v>0</v>
      </c>
      <c r="H22" s="12" t="s">
        <v>356</v>
      </c>
      <c r="I22" s="11">
        <v>1637</v>
      </c>
      <c r="J22" s="10"/>
      <c r="K22" s="9">
        <v>1637</v>
      </c>
      <c r="L22" s="8">
        <f t="shared" si="0"/>
        <v>0</v>
      </c>
    </row>
    <row r="23" spans="1:12" ht="162" customHeight="1" thickBot="1" x14ac:dyDescent="0.3">
      <c r="A23" s="50"/>
      <c r="B23" s="24" t="s">
        <v>95</v>
      </c>
      <c r="C23" s="12" t="s">
        <v>15</v>
      </c>
      <c r="D23" s="12" t="s">
        <v>24</v>
      </c>
      <c r="E23" s="13" t="s">
        <v>96</v>
      </c>
      <c r="F23" s="22" t="s">
        <v>4</v>
      </c>
      <c r="G23" s="13" t="s">
        <v>0</v>
      </c>
      <c r="H23" s="12" t="s">
        <v>356</v>
      </c>
      <c r="I23" s="11">
        <v>1000</v>
      </c>
      <c r="J23" s="10"/>
      <c r="K23" s="9">
        <v>1000</v>
      </c>
      <c r="L23" s="8">
        <f t="shared" si="0"/>
        <v>0</v>
      </c>
    </row>
    <row r="24" spans="1:12" ht="165.75" customHeight="1" thickBot="1" x14ac:dyDescent="0.3">
      <c r="A24" s="50"/>
      <c r="B24" s="24" t="s">
        <v>38</v>
      </c>
      <c r="C24" s="12" t="s">
        <v>27</v>
      </c>
      <c r="D24" s="12" t="s">
        <v>24</v>
      </c>
      <c r="E24" s="13" t="s">
        <v>39</v>
      </c>
      <c r="F24" s="22" t="s">
        <v>4</v>
      </c>
      <c r="G24" s="13" t="s">
        <v>0</v>
      </c>
      <c r="H24" s="12" t="s">
        <v>356</v>
      </c>
      <c r="I24" s="11">
        <v>1000</v>
      </c>
      <c r="J24" s="10"/>
      <c r="K24" s="9">
        <v>1000</v>
      </c>
      <c r="L24" s="8">
        <f t="shared" si="0"/>
        <v>0</v>
      </c>
    </row>
    <row r="25" spans="1:12" ht="165.75" customHeight="1" thickBot="1" x14ac:dyDescent="0.3">
      <c r="A25" s="50"/>
      <c r="B25" s="24" t="s">
        <v>77</v>
      </c>
      <c r="C25" s="12" t="s">
        <v>27</v>
      </c>
      <c r="D25" s="12" t="s">
        <v>24</v>
      </c>
      <c r="E25" s="13" t="s">
        <v>76</v>
      </c>
      <c r="F25" s="22" t="s">
        <v>4</v>
      </c>
      <c r="G25" s="13" t="s">
        <v>0</v>
      </c>
      <c r="H25" s="12" t="s">
        <v>356</v>
      </c>
      <c r="I25" s="11">
        <v>1970</v>
      </c>
      <c r="J25" s="10"/>
      <c r="K25" s="9">
        <v>1970</v>
      </c>
      <c r="L25" s="8">
        <f t="shared" si="0"/>
        <v>0</v>
      </c>
    </row>
    <row r="26" spans="1:12" ht="165.75" customHeight="1" thickBot="1" x14ac:dyDescent="0.3">
      <c r="A26" s="50"/>
      <c r="B26" s="24" t="s">
        <v>77</v>
      </c>
      <c r="C26" s="12" t="s">
        <v>27</v>
      </c>
      <c r="D26" s="12" t="s">
        <v>24</v>
      </c>
      <c r="E26" s="13" t="s">
        <v>39</v>
      </c>
      <c r="F26" s="22" t="s">
        <v>4</v>
      </c>
      <c r="G26" s="13" t="s">
        <v>0</v>
      </c>
      <c r="H26" s="12" t="s">
        <v>356</v>
      </c>
      <c r="I26" s="11">
        <v>1000</v>
      </c>
      <c r="J26" s="10"/>
      <c r="K26" s="9">
        <v>1000</v>
      </c>
      <c r="L26" s="8">
        <f t="shared" si="0"/>
        <v>0</v>
      </c>
    </row>
    <row r="27" spans="1:12" ht="165.75" customHeight="1" thickBot="1" x14ac:dyDescent="0.3">
      <c r="A27" s="50" t="s">
        <v>23</v>
      </c>
      <c r="B27" s="24" t="s">
        <v>12</v>
      </c>
      <c r="C27" s="12" t="s">
        <v>6</v>
      </c>
      <c r="D27" s="12" t="s">
        <v>20</v>
      </c>
      <c r="E27" s="13" t="s">
        <v>22</v>
      </c>
      <c r="F27" s="22" t="s">
        <v>4</v>
      </c>
      <c r="G27" s="13" t="s">
        <v>0</v>
      </c>
      <c r="H27" s="12" t="s">
        <v>356</v>
      </c>
      <c r="I27" s="11">
        <v>4000</v>
      </c>
      <c r="J27" s="10"/>
      <c r="K27" s="9">
        <v>4000</v>
      </c>
      <c r="L27" s="8">
        <f t="shared" si="0"/>
        <v>0</v>
      </c>
    </row>
    <row r="28" spans="1:12" ht="165.75" customHeight="1" thickBot="1" x14ac:dyDescent="0.3">
      <c r="A28" s="50"/>
      <c r="B28" s="24" t="s">
        <v>21</v>
      </c>
      <c r="C28" s="12" t="s">
        <v>118</v>
      </c>
      <c r="D28" s="12" t="s">
        <v>20</v>
      </c>
      <c r="E28" s="13" t="s">
        <v>222</v>
      </c>
      <c r="F28" s="22" t="s">
        <v>4</v>
      </c>
      <c r="G28" s="13" t="s">
        <v>0</v>
      </c>
      <c r="H28" s="12" t="s">
        <v>356</v>
      </c>
      <c r="I28" s="11">
        <v>2860</v>
      </c>
      <c r="J28" s="10"/>
      <c r="K28" s="9">
        <v>2860</v>
      </c>
      <c r="L28" s="8">
        <f t="shared" si="0"/>
        <v>0</v>
      </c>
    </row>
    <row r="29" spans="1:12" ht="165.75" customHeight="1" thickBot="1" x14ac:dyDescent="0.3">
      <c r="A29" s="50"/>
      <c r="B29" s="24" t="s">
        <v>12</v>
      </c>
      <c r="C29" s="12" t="s">
        <v>6</v>
      </c>
      <c r="D29" s="12" t="s">
        <v>20</v>
      </c>
      <c r="E29" s="23" t="s">
        <v>22</v>
      </c>
      <c r="F29" s="22" t="s">
        <v>4</v>
      </c>
      <c r="G29" s="13" t="s">
        <v>0</v>
      </c>
      <c r="H29" s="12" t="s">
        <v>356</v>
      </c>
      <c r="I29" s="11">
        <v>2000</v>
      </c>
      <c r="J29" s="10"/>
      <c r="K29" s="9">
        <v>2000</v>
      </c>
      <c r="L29" s="8">
        <f t="shared" si="0"/>
        <v>0</v>
      </c>
    </row>
    <row r="30" spans="1:12" ht="165.75" customHeight="1" thickBot="1" x14ac:dyDescent="0.3">
      <c r="A30" s="50"/>
      <c r="B30" s="24" t="s">
        <v>21</v>
      </c>
      <c r="C30" s="12" t="s">
        <v>118</v>
      </c>
      <c r="D30" s="12" t="s">
        <v>20</v>
      </c>
      <c r="E30" s="23" t="s">
        <v>222</v>
      </c>
      <c r="F30" s="22" t="s">
        <v>4</v>
      </c>
      <c r="G30" s="13" t="s">
        <v>0</v>
      </c>
      <c r="H30" s="12" t="s">
        <v>356</v>
      </c>
      <c r="I30" s="11">
        <v>2000</v>
      </c>
      <c r="J30" s="10"/>
      <c r="K30" s="9">
        <v>2000</v>
      </c>
      <c r="L30" s="8">
        <f t="shared" si="0"/>
        <v>0</v>
      </c>
    </row>
    <row r="31" spans="1:12" ht="165.75" customHeight="1" thickBot="1" x14ac:dyDescent="0.3">
      <c r="A31" s="50"/>
      <c r="B31" s="24" t="s">
        <v>21</v>
      </c>
      <c r="C31" s="12" t="s">
        <v>3</v>
      </c>
      <c r="D31" s="12" t="s">
        <v>20</v>
      </c>
      <c r="E31" s="23" t="s">
        <v>56</v>
      </c>
      <c r="F31" s="22" t="s">
        <v>9</v>
      </c>
      <c r="G31" s="13" t="s">
        <v>0</v>
      </c>
      <c r="H31" s="12" t="s">
        <v>370</v>
      </c>
      <c r="I31" s="11">
        <v>6310</v>
      </c>
      <c r="J31" s="10"/>
      <c r="K31" s="9">
        <f>3000+3310</f>
        <v>6310</v>
      </c>
      <c r="L31" s="8">
        <f t="shared" si="0"/>
        <v>0</v>
      </c>
    </row>
    <row r="32" spans="1:12" ht="165.75" customHeight="1" thickBot="1" x14ac:dyDescent="0.3">
      <c r="A32" s="50"/>
      <c r="B32" s="24" t="s">
        <v>21</v>
      </c>
      <c r="C32" s="12" t="s">
        <v>3</v>
      </c>
      <c r="D32" s="12" t="s">
        <v>20</v>
      </c>
      <c r="E32" s="13" t="s">
        <v>56</v>
      </c>
      <c r="F32" s="22" t="s">
        <v>4</v>
      </c>
      <c r="G32" s="13" t="s">
        <v>0</v>
      </c>
      <c r="H32" s="12" t="s">
        <v>356</v>
      </c>
      <c r="I32" s="11">
        <v>400</v>
      </c>
      <c r="J32" s="10"/>
      <c r="K32" s="9">
        <v>400</v>
      </c>
      <c r="L32" s="8">
        <f t="shared" si="0"/>
        <v>0</v>
      </c>
    </row>
    <row r="33" spans="1:12" ht="165.75" customHeight="1" thickBot="1" x14ac:dyDescent="0.3">
      <c r="A33" s="50"/>
      <c r="B33" s="24" t="s">
        <v>21</v>
      </c>
      <c r="C33" s="12" t="s">
        <v>3</v>
      </c>
      <c r="D33" s="12" t="s">
        <v>20</v>
      </c>
      <c r="E33" s="13" t="s">
        <v>56</v>
      </c>
      <c r="F33" s="22" t="s">
        <v>9</v>
      </c>
      <c r="G33" s="13" t="s">
        <v>0</v>
      </c>
      <c r="H33" s="12" t="s">
        <v>370</v>
      </c>
      <c r="I33" s="11">
        <v>10000</v>
      </c>
      <c r="J33" s="10"/>
      <c r="K33" s="9">
        <v>10000</v>
      </c>
      <c r="L33" s="8">
        <f t="shared" si="0"/>
        <v>0</v>
      </c>
    </row>
    <row r="34" spans="1:12" ht="165.75" customHeight="1" thickBot="1" x14ac:dyDescent="0.3">
      <c r="A34" s="50" t="s">
        <v>54</v>
      </c>
      <c r="B34" s="24" t="s">
        <v>67</v>
      </c>
      <c r="C34" s="12" t="s">
        <v>163</v>
      </c>
      <c r="D34" s="12" t="s">
        <v>60</v>
      </c>
      <c r="E34" s="13" t="s">
        <v>164</v>
      </c>
      <c r="F34" s="22" t="s">
        <v>102</v>
      </c>
      <c r="G34" s="13" t="s">
        <v>37</v>
      </c>
      <c r="H34" s="12" t="s">
        <v>356</v>
      </c>
      <c r="I34" s="11">
        <v>70</v>
      </c>
      <c r="J34" s="10">
        <v>70</v>
      </c>
      <c r="K34" s="9"/>
      <c r="L34" s="8">
        <f t="shared" si="0"/>
        <v>0</v>
      </c>
    </row>
    <row r="35" spans="1:12" ht="165.75" customHeight="1" thickBot="1" x14ac:dyDescent="0.3">
      <c r="A35" s="50"/>
      <c r="B35" s="24" t="s">
        <v>223</v>
      </c>
      <c r="C35" s="12" t="s">
        <v>224</v>
      </c>
      <c r="D35" s="12" t="s">
        <v>60</v>
      </c>
      <c r="E35" s="13" t="s">
        <v>375</v>
      </c>
      <c r="F35" s="22" t="s">
        <v>4</v>
      </c>
      <c r="G35" s="13" t="s">
        <v>37</v>
      </c>
      <c r="H35" s="12" t="s">
        <v>370</v>
      </c>
      <c r="I35" s="11">
        <v>21</v>
      </c>
      <c r="J35" s="10"/>
      <c r="K35" s="9">
        <v>21</v>
      </c>
      <c r="L35" s="8">
        <f t="shared" si="0"/>
        <v>0</v>
      </c>
    </row>
    <row r="36" spans="1:12" ht="165.75" customHeight="1" thickBot="1" x14ac:dyDescent="0.3">
      <c r="A36" s="50"/>
      <c r="B36" s="24" t="s">
        <v>223</v>
      </c>
      <c r="C36" s="12" t="s">
        <v>224</v>
      </c>
      <c r="D36" s="12" t="s">
        <v>60</v>
      </c>
      <c r="E36" s="13" t="s">
        <v>298</v>
      </c>
      <c r="F36" s="22" t="s">
        <v>4</v>
      </c>
      <c r="G36" s="13" t="s">
        <v>37</v>
      </c>
      <c r="H36" s="12" t="s">
        <v>356</v>
      </c>
      <c r="I36" s="11">
        <v>165</v>
      </c>
      <c r="J36" s="10"/>
      <c r="K36" s="9">
        <v>165</v>
      </c>
      <c r="L36" s="8">
        <f t="shared" si="0"/>
        <v>0</v>
      </c>
    </row>
    <row r="37" spans="1:12" ht="165.75" customHeight="1" thickBot="1" x14ac:dyDescent="0.3">
      <c r="A37" s="50"/>
      <c r="B37" s="24" t="s">
        <v>104</v>
      </c>
      <c r="C37" s="12" t="s">
        <v>31</v>
      </c>
      <c r="D37" s="12" t="s">
        <v>60</v>
      </c>
      <c r="E37" s="13" t="s">
        <v>192</v>
      </c>
      <c r="F37" s="22" t="s">
        <v>64</v>
      </c>
      <c r="G37" s="13" t="s">
        <v>37</v>
      </c>
      <c r="H37" s="12" t="s">
        <v>356</v>
      </c>
      <c r="I37" s="11">
        <v>52</v>
      </c>
      <c r="J37" s="10"/>
      <c r="K37" s="9">
        <v>52</v>
      </c>
      <c r="L37" s="8">
        <f t="shared" si="0"/>
        <v>0</v>
      </c>
    </row>
    <row r="38" spans="1:12" ht="165.75" customHeight="1" thickBot="1" x14ac:dyDescent="0.3">
      <c r="A38" s="50"/>
      <c r="B38" s="24" t="s">
        <v>104</v>
      </c>
      <c r="C38" s="12" t="s">
        <v>31</v>
      </c>
      <c r="D38" s="12" t="s">
        <v>60</v>
      </c>
      <c r="E38" s="13" t="s">
        <v>193</v>
      </c>
      <c r="F38" s="22" t="s">
        <v>64</v>
      </c>
      <c r="G38" s="13" t="s">
        <v>37</v>
      </c>
      <c r="H38" s="12" t="s">
        <v>356</v>
      </c>
      <c r="I38" s="11">
        <v>39</v>
      </c>
      <c r="J38" s="10"/>
      <c r="K38" s="9">
        <v>39</v>
      </c>
      <c r="L38" s="8">
        <f t="shared" si="0"/>
        <v>0</v>
      </c>
    </row>
    <row r="39" spans="1:12" ht="165.75" customHeight="1" thickBot="1" x14ac:dyDescent="0.3">
      <c r="A39" s="50"/>
      <c r="B39" s="24" t="s">
        <v>104</v>
      </c>
      <c r="C39" s="12" t="s">
        <v>31</v>
      </c>
      <c r="D39" s="12" t="s">
        <v>60</v>
      </c>
      <c r="E39" s="13" t="s">
        <v>277</v>
      </c>
      <c r="F39" s="22" t="s">
        <v>64</v>
      </c>
      <c r="G39" s="13" t="s">
        <v>37</v>
      </c>
      <c r="H39" s="12" t="s">
        <v>356</v>
      </c>
      <c r="I39" s="11">
        <v>56</v>
      </c>
      <c r="J39" s="10"/>
      <c r="K39" s="9">
        <v>56</v>
      </c>
      <c r="L39" s="8">
        <f t="shared" si="0"/>
        <v>0</v>
      </c>
    </row>
    <row r="40" spans="1:12" ht="165.75" customHeight="1" thickBot="1" x14ac:dyDescent="0.3">
      <c r="A40" s="50"/>
      <c r="B40" s="24" t="s">
        <v>104</v>
      </c>
      <c r="C40" s="12" t="s">
        <v>31</v>
      </c>
      <c r="D40" s="12" t="s">
        <v>60</v>
      </c>
      <c r="E40" s="13" t="s">
        <v>214</v>
      </c>
      <c r="F40" s="22" t="s">
        <v>64</v>
      </c>
      <c r="G40" s="13" t="s">
        <v>37</v>
      </c>
      <c r="H40" s="12" t="s">
        <v>356</v>
      </c>
      <c r="I40" s="11">
        <v>31</v>
      </c>
      <c r="J40" s="10"/>
      <c r="K40" s="9">
        <v>31</v>
      </c>
      <c r="L40" s="8">
        <f t="shared" si="0"/>
        <v>0</v>
      </c>
    </row>
    <row r="41" spans="1:12" ht="165.75" customHeight="1" thickBot="1" x14ac:dyDescent="0.3">
      <c r="A41" s="50"/>
      <c r="B41" s="24" t="s">
        <v>104</v>
      </c>
      <c r="C41" s="12" t="s">
        <v>31</v>
      </c>
      <c r="D41" s="12" t="s">
        <v>60</v>
      </c>
      <c r="E41" s="13" t="s">
        <v>278</v>
      </c>
      <c r="F41" s="22" t="s">
        <v>64</v>
      </c>
      <c r="G41" s="13" t="s">
        <v>37</v>
      </c>
      <c r="H41" s="12" t="s">
        <v>356</v>
      </c>
      <c r="I41" s="11">
        <v>33</v>
      </c>
      <c r="J41" s="10"/>
      <c r="K41" s="9">
        <v>33</v>
      </c>
      <c r="L41" s="8">
        <f t="shared" si="0"/>
        <v>0</v>
      </c>
    </row>
    <row r="42" spans="1:12" ht="165.75" customHeight="1" thickBot="1" x14ac:dyDescent="0.3">
      <c r="A42" s="50"/>
      <c r="B42" s="24" t="s">
        <v>104</v>
      </c>
      <c r="C42" s="12" t="s">
        <v>31</v>
      </c>
      <c r="D42" s="12" t="s">
        <v>60</v>
      </c>
      <c r="E42" s="13" t="s">
        <v>279</v>
      </c>
      <c r="F42" s="22" t="s">
        <v>64</v>
      </c>
      <c r="G42" s="13" t="s">
        <v>37</v>
      </c>
      <c r="H42" s="12" t="s">
        <v>356</v>
      </c>
      <c r="I42" s="11">
        <v>14</v>
      </c>
      <c r="J42" s="10"/>
      <c r="K42" s="9">
        <v>14</v>
      </c>
      <c r="L42" s="8">
        <f t="shared" si="0"/>
        <v>0</v>
      </c>
    </row>
    <row r="43" spans="1:12" ht="165.75" customHeight="1" thickBot="1" x14ac:dyDescent="0.3">
      <c r="A43" s="50" t="s">
        <v>19</v>
      </c>
      <c r="B43" s="24" t="s">
        <v>18</v>
      </c>
      <c r="C43" s="12" t="s">
        <v>17</v>
      </c>
      <c r="D43" s="12" t="s">
        <v>14</v>
      </c>
      <c r="E43" s="13" t="s">
        <v>16</v>
      </c>
      <c r="F43" s="22" t="s">
        <v>9</v>
      </c>
      <c r="G43" s="13" t="s">
        <v>0</v>
      </c>
      <c r="H43" s="12" t="s">
        <v>370</v>
      </c>
      <c r="I43" s="11">
        <v>1160</v>
      </c>
      <c r="J43" s="10"/>
      <c r="K43" s="9">
        <v>1160</v>
      </c>
      <c r="L43" s="8">
        <f t="shared" si="0"/>
        <v>0</v>
      </c>
    </row>
    <row r="44" spans="1:12" ht="165.75" customHeight="1" thickBot="1" x14ac:dyDescent="0.3">
      <c r="A44" s="50"/>
      <c r="B44" s="24" t="s">
        <v>7</v>
      </c>
      <c r="C44" s="12" t="s">
        <v>17</v>
      </c>
      <c r="D44" s="12" t="s">
        <v>120</v>
      </c>
      <c r="E44" s="13" t="s">
        <v>121</v>
      </c>
      <c r="F44" s="22" t="s">
        <v>122</v>
      </c>
      <c r="G44" s="13" t="s">
        <v>0</v>
      </c>
      <c r="H44" s="12" t="s">
        <v>370</v>
      </c>
      <c r="I44" s="11">
        <v>3000</v>
      </c>
      <c r="J44" s="10"/>
      <c r="K44" s="9">
        <v>3000</v>
      </c>
      <c r="L44" s="8">
        <f t="shared" si="0"/>
        <v>0</v>
      </c>
    </row>
    <row r="45" spans="1:12" ht="165.75" customHeight="1" thickBot="1" x14ac:dyDescent="0.3">
      <c r="A45" s="50"/>
      <c r="B45" s="24" t="s">
        <v>12</v>
      </c>
      <c r="C45" s="12" t="s">
        <v>3</v>
      </c>
      <c r="D45" s="12" t="s">
        <v>11</v>
      </c>
      <c r="E45" s="23" t="s">
        <v>10</v>
      </c>
      <c r="F45" s="22" t="s">
        <v>9</v>
      </c>
      <c r="G45" s="13" t="s">
        <v>0</v>
      </c>
      <c r="H45" s="12" t="s">
        <v>370</v>
      </c>
      <c r="I45" s="11">
        <v>2220</v>
      </c>
      <c r="J45" s="10"/>
      <c r="K45" s="9">
        <v>2220</v>
      </c>
      <c r="L45" s="8">
        <f t="shared" si="0"/>
        <v>0</v>
      </c>
    </row>
    <row r="46" spans="1:12" ht="165.75" customHeight="1" thickBot="1" x14ac:dyDescent="0.3">
      <c r="A46" s="50"/>
      <c r="B46" s="24" t="s">
        <v>12</v>
      </c>
      <c r="C46" s="12" t="s">
        <v>3</v>
      </c>
      <c r="D46" s="12" t="s">
        <v>11</v>
      </c>
      <c r="E46" s="23" t="s">
        <v>10</v>
      </c>
      <c r="F46" s="22" t="s">
        <v>4</v>
      </c>
      <c r="G46" s="13" t="s">
        <v>0</v>
      </c>
      <c r="H46" s="12" t="s">
        <v>356</v>
      </c>
      <c r="I46" s="11">
        <v>6370</v>
      </c>
      <c r="J46" s="10"/>
      <c r="K46" s="9">
        <v>6370</v>
      </c>
      <c r="L46" s="8">
        <f t="shared" si="0"/>
        <v>0</v>
      </c>
    </row>
    <row r="47" spans="1:12" ht="165.75" customHeight="1" thickBot="1" x14ac:dyDescent="0.3">
      <c r="A47" s="50"/>
      <c r="B47" s="24" t="s">
        <v>7</v>
      </c>
      <c r="C47" s="12" t="s">
        <v>6</v>
      </c>
      <c r="D47" s="12" t="s">
        <v>1</v>
      </c>
      <c r="E47" s="23" t="s">
        <v>5</v>
      </c>
      <c r="F47" s="22" t="s">
        <v>4</v>
      </c>
      <c r="G47" s="13" t="s">
        <v>0</v>
      </c>
      <c r="H47" s="12" t="s">
        <v>356</v>
      </c>
      <c r="I47" s="11">
        <v>1500</v>
      </c>
      <c r="J47" s="10"/>
      <c r="K47" s="9">
        <v>1500</v>
      </c>
      <c r="L47" s="8">
        <f t="shared" si="0"/>
        <v>0</v>
      </c>
    </row>
    <row r="48" spans="1:12" ht="165.75" customHeight="1" thickBot="1" x14ac:dyDescent="0.3">
      <c r="A48" s="50"/>
      <c r="B48" s="24" t="s">
        <v>7</v>
      </c>
      <c r="C48" s="12" t="s">
        <v>6</v>
      </c>
      <c r="D48" s="12" t="s">
        <v>1</v>
      </c>
      <c r="E48" s="23" t="s">
        <v>5</v>
      </c>
      <c r="F48" s="22" t="s">
        <v>9</v>
      </c>
      <c r="G48" s="13" t="s">
        <v>0</v>
      </c>
      <c r="H48" s="12" t="s">
        <v>370</v>
      </c>
      <c r="I48" s="11">
        <v>400</v>
      </c>
      <c r="J48" s="10"/>
      <c r="K48" s="9">
        <v>400</v>
      </c>
      <c r="L48" s="8">
        <f t="shared" si="0"/>
        <v>0</v>
      </c>
    </row>
    <row r="49" spans="1:12" ht="165.75" customHeight="1" thickBot="1" x14ac:dyDescent="0.3">
      <c r="A49" s="50"/>
      <c r="B49" s="24" t="s">
        <v>12</v>
      </c>
      <c r="C49" s="12" t="s">
        <v>118</v>
      </c>
      <c r="D49" s="12" t="s">
        <v>123</v>
      </c>
      <c r="E49" s="13" t="s">
        <v>124</v>
      </c>
      <c r="F49" s="22" t="s">
        <v>9</v>
      </c>
      <c r="G49" s="13" t="s">
        <v>0</v>
      </c>
      <c r="H49" s="12" t="s">
        <v>370</v>
      </c>
      <c r="I49" s="11">
        <v>2300</v>
      </c>
      <c r="J49" s="10">
        <v>1000</v>
      </c>
      <c r="K49" s="9">
        <v>1300</v>
      </c>
      <c r="L49" s="8">
        <f t="shared" si="0"/>
        <v>0</v>
      </c>
    </row>
    <row r="50" spans="1:12" ht="165.75" customHeight="1" thickBot="1" x14ac:dyDescent="0.3">
      <c r="A50" s="50"/>
      <c r="B50" s="24" t="s">
        <v>12</v>
      </c>
      <c r="C50" s="12" t="s">
        <v>3</v>
      </c>
      <c r="D50" s="12" t="s">
        <v>11</v>
      </c>
      <c r="E50" s="13" t="s">
        <v>10</v>
      </c>
      <c r="F50" s="22" t="s">
        <v>4</v>
      </c>
      <c r="G50" s="13" t="s">
        <v>0</v>
      </c>
      <c r="H50" s="12" t="s">
        <v>356</v>
      </c>
      <c r="I50" s="11">
        <v>11487</v>
      </c>
      <c r="J50" s="10"/>
      <c r="K50" s="9">
        <f>4000+4000+3487</f>
        <v>11487</v>
      </c>
      <c r="L50" s="8">
        <f t="shared" si="0"/>
        <v>0</v>
      </c>
    </row>
    <row r="51" spans="1:12" ht="165.75" customHeight="1" thickBot="1" x14ac:dyDescent="0.3">
      <c r="A51" s="50"/>
      <c r="B51" s="24" t="s">
        <v>12</v>
      </c>
      <c r="C51" s="12" t="s">
        <v>3</v>
      </c>
      <c r="D51" s="12" t="s">
        <v>11</v>
      </c>
      <c r="E51" s="13" t="s">
        <v>10</v>
      </c>
      <c r="F51" s="22" t="s">
        <v>9</v>
      </c>
      <c r="G51" s="13" t="s">
        <v>0</v>
      </c>
      <c r="H51" s="12" t="s">
        <v>370</v>
      </c>
      <c r="I51" s="11">
        <v>5000</v>
      </c>
      <c r="J51" s="10">
        <v>2000</v>
      </c>
      <c r="K51" s="9">
        <v>3000</v>
      </c>
      <c r="L51" s="8">
        <f t="shared" si="0"/>
        <v>0</v>
      </c>
    </row>
    <row r="52" spans="1:12" ht="165.75" customHeight="1" thickBot="1" x14ac:dyDescent="0.3">
      <c r="A52" s="50"/>
      <c r="B52" s="24" t="s">
        <v>7</v>
      </c>
      <c r="C52" s="12" t="s">
        <v>6</v>
      </c>
      <c r="D52" s="12" t="s">
        <v>1</v>
      </c>
      <c r="E52" s="13" t="s">
        <v>5</v>
      </c>
      <c r="F52" s="22" t="s">
        <v>4</v>
      </c>
      <c r="G52" s="13" t="s">
        <v>0</v>
      </c>
      <c r="H52" s="12" t="s">
        <v>356</v>
      </c>
      <c r="I52" s="11">
        <v>2282</v>
      </c>
      <c r="J52" s="10"/>
      <c r="K52" s="9">
        <v>2282</v>
      </c>
      <c r="L52" s="8">
        <f t="shared" si="0"/>
        <v>0</v>
      </c>
    </row>
  </sheetData>
  <autoFilter ref="A2:L52"/>
  <dataConsolidate/>
  <mergeCells count="6">
    <mergeCell ref="A43:A52"/>
    <mergeCell ref="A1:L1"/>
    <mergeCell ref="A3:A11"/>
    <mergeCell ref="A12:A26"/>
    <mergeCell ref="A27:A33"/>
    <mergeCell ref="A34:A42"/>
  </mergeCells>
  <conditionalFormatting sqref="I2:I33 K3:L33">
    <cfRule type="cellIs" dxfId="61" priority="3" operator="lessThan">
      <formula>0</formula>
    </cfRule>
  </conditionalFormatting>
  <conditionalFormatting sqref="L2">
    <cfRule type="cellIs" dxfId="60" priority="2" operator="lessThan">
      <formula>0</formula>
    </cfRule>
  </conditionalFormatting>
  <conditionalFormatting sqref="I34:I52 K34:L52">
    <cfRule type="cellIs" dxfId="59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60"/>
  <sheetViews>
    <sheetView showGridLines="0" view="pageBreakPreview" topLeftCell="A51" zoomScale="20" zoomScaleNormal="15" zoomScaleSheetLayoutView="20" workbookViewId="0">
      <selection activeCell="K61" sqref="K61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378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235</v>
      </c>
      <c r="D3" s="12" t="s">
        <v>126</v>
      </c>
      <c r="E3" s="13" t="s">
        <v>236</v>
      </c>
      <c r="F3" s="22" t="s">
        <v>122</v>
      </c>
      <c r="G3" s="13" t="s">
        <v>0</v>
      </c>
      <c r="H3" s="12" t="s">
        <v>381</v>
      </c>
      <c r="I3" s="11">
        <v>2000</v>
      </c>
      <c r="J3" s="10"/>
      <c r="K3" s="9">
        <v>2000</v>
      </c>
      <c r="L3" s="8">
        <f t="shared" ref="L3:L60" si="0">K3+J3-I3</f>
        <v>0</v>
      </c>
    </row>
    <row r="4" spans="1:12" ht="162" customHeight="1" thickBot="1" x14ac:dyDescent="0.3">
      <c r="A4" s="47"/>
      <c r="B4" s="13" t="s">
        <v>136</v>
      </c>
      <c r="C4" s="12" t="s">
        <v>235</v>
      </c>
      <c r="D4" s="12" t="s">
        <v>126</v>
      </c>
      <c r="E4" s="13" t="s">
        <v>385</v>
      </c>
      <c r="F4" s="22" t="s">
        <v>122</v>
      </c>
      <c r="G4" s="13" t="s">
        <v>0</v>
      </c>
      <c r="H4" s="12" t="s">
        <v>381</v>
      </c>
      <c r="I4" s="11">
        <v>1000</v>
      </c>
      <c r="J4" s="10"/>
      <c r="K4" s="9">
        <v>1000</v>
      </c>
      <c r="L4" s="8">
        <f t="shared" si="0"/>
        <v>0</v>
      </c>
    </row>
    <row r="5" spans="1:12" ht="162" customHeight="1" thickBot="1" x14ac:dyDescent="0.3">
      <c r="A5" s="47"/>
      <c r="B5" s="13" t="s">
        <v>35</v>
      </c>
      <c r="C5" s="12" t="s">
        <v>34</v>
      </c>
      <c r="D5" s="12" t="s">
        <v>24</v>
      </c>
      <c r="E5" s="13" t="s">
        <v>33</v>
      </c>
      <c r="F5" s="22" t="s">
        <v>4</v>
      </c>
      <c r="G5" s="13" t="s">
        <v>0</v>
      </c>
      <c r="H5" s="12" t="s">
        <v>370</v>
      </c>
      <c r="I5" s="11">
        <v>2000</v>
      </c>
      <c r="J5" s="10">
        <v>1000</v>
      </c>
      <c r="K5" s="9">
        <v>1000</v>
      </c>
      <c r="L5" s="8">
        <f t="shared" si="0"/>
        <v>0</v>
      </c>
    </row>
    <row r="6" spans="1:12" ht="162" customHeight="1" thickBot="1" x14ac:dyDescent="0.3">
      <c r="A6" s="47"/>
      <c r="B6" s="13" t="s">
        <v>95</v>
      </c>
      <c r="C6" s="12" t="s">
        <v>15</v>
      </c>
      <c r="D6" s="12" t="s">
        <v>24</v>
      </c>
      <c r="E6" s="13" t="s">
        <v>96</v>
      </c>
      <c r="F6" s="22" t="s">
        <v>4</v>
      </c>
      <c r="G6" s="13" t="s">
        <v>0</v>
      </c>
      <c r="H6" s="12" t="s">
        <v>370</v>
      </c>
      <c r="I6" s="11">
        <v>2000</v>
      </c>
      <c r="J6" s="10">
        <v>1000</v>
      </c>
      <c r="K6" s="9">
        <v>1000</v>
      </c>
      <c r="L6" s="8">
        <f t="shared" si="0"/>
        <v>0</v>
      </c>
    </row>
    <row r="7" spans="1:12" ht="162" customHeight="1" thickBot="1" x14ac:dyDescent="0.3">
      <c r="A7" s="47"/>
      <c r="B7" s="13" t="s">
        <v>95</v>
      </c>
      <c r="C7" s="12" t="s">
        <v>15</v>
      </c>
      <c r="D7" s="12" t="s">
        <v>24</v>
      </c>
      <c r="E7" s="13" t="s">
        <v>96</v>
      </c>
      <c r="F7" s="22" t="s">
        <v>4</v>
      </c>
      <c r="G7" s="13" t="s">
        <v>0</v>
      </c>
      <c r="H7" s="12" t="s">
        <v>370</v>
      </c>
      <c r="I7" s="11">
        <v>1000</v>
      </c>
      <c r="J7" s="10"/>
      <c r="K7" s="9">
        <v>1000</v>
      </c>
      <c r="L7" s="8">
        <f t="shared" si="0"/>
        <v>0</v>
      </c>
    </row>
    <row r="8" spans="1:12" ht="162" customHeight="1" thickBot="1" x14ac:dyDescent="0.3">
      <c r="A8" s="47"/>
      <c r="B8" s="13" t="s">
        <v>77</v>
      </c>
      <c r="C8" s="12" t="s">
        <v>27</v>
      </c>
      <c r="D8" s="12" t="s">
        <v>24</v>
      </c>
      <c r="E8" s="13" t="s">
        <v>76</v>
      </c>
      <c r="F8" s="22" t="s">
        <v>4</v>
      </c>
      <c r="G8" s="13" t="s">
        <v>0</v>
      </c>
      <c r="H8" s="12" t="s">
        <v>370</v>
      </c>
      <c r="I8" s="11">
        <v>2000</v>
      </c>
      <c r="J8" s="10">
        <v>1000</v>
      </c>
      <c r="K8" s="9">
        <v>1000</v>
      </c>
      <c r="L8" s="8">
        <f t="shared" si="0"/>
        <v>0</v>
      </c>
    </row>
    <row r="9" spans="1:12" ht="162" customHeight="1" thickBot="1" x14ac:dyDescent="0.3">
      <c r="A9" s="47"/>
      <c r="B9" s="13" t="s">
        <v>77</v>
      </c>
      <c r="C9" s="12" t="s">
        <v>27</v>
      </c>
      <c r="D9" s="12" t="s">
        <v>24</v>
      </c>
      <c r="E9" s="13" t="s">
        <v>39</v>
      </c>
      <c r="F9" s="22" t="s">
        <v>4</v>
      </c>
      <c r="G9" s="13" t="s">
        <v>0</v>
      </c>
      <c r="H9" s="12" t="s">
        <v>370</v>
      </c>
      <c r="I9" s="11">
        <v>800</v>
      </c>
      <c r="J9" s="10"/>
      <c r="K9" s="9">
        <v>800</v>
      </c>
      <c r="L9" s="8">
        <f t="shared" si="0"/>
        <v>0</v>
      </c>
    </row>
    <row r="10" spans="1:12" ht="162" customHeight="1" thickBot="1" x14ac:dyDescent="0.3">
      <c r="A10" s="47"/>
      <c r="B10" s="13" t="s">
        <v>77</v>
      </c>
      <c r="C10" s="12" t="s">
        <v>27</v>
      </c>
      <c r="D10" s="12" t="s">
        <v>24</v>
      </c>
      <c r="E10" s="13" t="s">
        <v>76</v>
      </c>
      <c r="F10" s="22" t="s">
        <v>4</v>
      </c>
      <c r="G10" s="13" t="s">
        <v>0</v>
      </c>
      <c r="H10" s="12" t="s">
        <v>370</v>
      </c>
      <c r="I10" s="11">
        <v>1540</v>
      </c>
      <c r="J10" s="10"/>
      <c r="K10" s="9">
        <v>1540</v>
      </c>
      <c r="L10" s="8">
        <f t="shared" si="0"/>
        <v>0</v>
      </c>
    </row>
    <row r="11" spans="1:12" ht="162" customHeight="1" thickBot="1" x14ac:dyDescent="0.3">
      <c r="A11" s="47"/>
      <c r="B11" s="13" t="s">
        <v>77</v>
      </c>
      <c r="C11" s="12" t="s">
        <v>27</v>
      </c>
      <c r="D11" s="12" t="s">
        <v>24</v>
      </c>
      <c r="E11" s="13" t="s">
        <v>111</v>
      </c>
      <c r="F11" s="22" t="s">
        <v>4</v>
      </c>
      <c r="G11" s="13" t="s">
        <v>0</v>
      </c>
      <c r="H11" s="12" t="s">
        <v>370</v>
      </c>
      <c r="I11" s="11">
        <v>1096</v>
      </c>
      <c r="J11" s="10"/>
      <c r="K11" s="9">
        <v>1096</v>
      </c>
      <c r="L11" s="8">
        <f t="shared" si="0"/>
        <v>0</v>
      </c>
    </row>
    <row r="12" spans="1:12" ht="162" customHeight="1" thickBot="1" x14ac:dyDescent="0.3">
      <c r="A12" s="47"/>
      <c r="B12" s="13" t="s">
        <v>77</v>
      </c>
      <c r="C12" s="12" t="s">
        <v>27</v>
      </c>
      <c r="D12" s="12" t="s">
        <v>24</v>
      </c>
      <c r="E12" s="13" t="s">
        <v>377</v>
      </c>
      <c r="F12" s="22" t="s">
        <v>9</v>
      </c>
      <c r="G12" s="13" t="s">
        <v>0</v>
      </c>
      <c r="H12" s="12" t="s">
        <v>381</v>
      </c>
      <c r="I12" s="11">
        <v>3000</v>
      </c>
      <c r="J12" s="10"/>
      <c r="K12" s="9">
        <v>3000</v>
      </c>
      <c r="L12" s="8">
        <f t="shared" si="0"/>
        <v>0</v>
      </c>
    </row>
    <row r="13" spans="1:12" ht="162" customHeight="1" thickBot="1" x14ac:dyDescent="0.3">
      <c r="A13" s="47"/>
      <c r="B13" s="24" t="s">
        <v>77</v>
      </c>
      <c r="C13" s="12" t="s">
        <v>27</v>
      </c>
      <c r="D13" s="12" t="s">
        <v>24</v>
      </c>
      <c r="E13" s="13" t="s">
        <v>111</v>
      </c>
      <c r="F13" s="22" t="s">
        <v>4</v>
      </c>
      <c r="G13" s="13" t="s">
        <v>0</v>
      </c>
      <c r="H13" s="12" t="s">
        <v>370</v>
      </c>
      <c r="I13" s="11">
        <v>5000</v>
      </c>
      <c r="J13" s="10">
        <v>3000</v>
      </c>
      <c r="K13" s="9">
        <v>2000</v>
      </c>
      <c r="L13" s="8">
        <f t="shared" si="0"/>
        <v>0</v>
      </c>
    </row>
    <row r="14" spans="1:12" ht="162" customHeight="1" thickBot="1" x14ac:dyDescent="0.3">
      <c r="A14" s="47"/>
      <c r="B14" s="24" t="s">
        <v>371</v>
      </c>
      <c r="C14" s="12" t="s">
        <v>113</v>
      </c>
      <c r="D14" s="12" t="s">
        <v>24</v>
      </c>
      <c r="E14" s="13" t="s">
        <v>114</v>
      </c>
      <c r="F14" s="22" t="s">
        <v>4</v>
      </c>
      <c r="G14" s="13" t="s">
        <v>0</v>
      </c>
      <c r="H14" s="12" t="s">
        <v>370</v>
      </c>
      <c r="I14" s="11">
        <v>2200</v>
      </c>
      <c r="J14" s="10">
        <v>1000</v>
      </c>
      <c r="K14" s="9">
        <v>1200</v>
      </c>
      <c r="L14" s="8">
        <f t="shared" si="0"/>
        <v>0</v>
      </c>
    </row>
    <row r="15" spans="1:12" ht="162" customHeight="1" thickBot="1" x14ac:dyDescent="0.3">
      <c r="A15" s="47"/>
      <c r="B15" s="24" t="s">
        <v>32</v>
      </c>
      <c r="C15" s="12" t="s">
        <v>31</v>
      </c>
      <c r="D15" s="12" t="s">
        <v>24</v>
      </c>
      <c r="E15" s="13" t="s">
        <v>97</v>
      </c>
      <c r="F15" s="22" t="s">
        <v>4</v>
      </c>
      <c r="G15" s="13" t="s">
        <v>0</v>
      </c>
      <c r="H15" s="12" t="s">
        <v>370</v>
      </c>
      <c r="I15" s="11">
        <v>3069</v>
      </c>
      <c r="J15" s="10"/>
      <c r="K15" s="9">
        <v>3069</v>
      </c>
      <c r="L15" s="8">
        <f t="shared" si="0"/>
        <v>0</v>
      </c>
    </row>
    <row r="16" spans="1:12" ht="162" customHeight="1" thickBot="1" x14ac:dyDescent="0.3">
      <c r="A16" s="47"/>
      <c r="B16" s="24" t="s">
        <v>32</v>
      </c>
      <c r="C16" s="12" t="s">
        <v>31</v>
      </c>
      <c r="D16" s="22" t="s">
        <v>24</v>
      </c>
      <c r="E16" s="13" t="s">
        <v>138</v>
      </c>
      <c r="F16" s="22" t="s">
        <v>4</v>
      </c>
      <c r="G16" s="13" t="s">
        <v>0</v>
      </c>
      <c r="H16" s="12" t="s">
        <v>370</v>
      </c>
      <c r="I16" s="11">
        <v>40</v>
      </c>
      <c r="J16" s="10"/>
      <c r="K16" s="9">
        <v>40</v>
      </c>
      <c r="L16" s="8">
        <f t="shared" si="0"/>
        <v>0</v>
      </c>
    </row>
    <row r="17" spans="1:12" ht="162" customHeight="1" thickBot="1" x14ac:dyDescent="0.3">
      <c r="A17" s="47"/>
      <c r="B17" s="24" t="s">
        <v>32</v>
      </c>
      <c r="C17" s="12" t="s">
        <v>31</v>
      </c>
      <c r="D17" s="22" t="s">
        <v>24</v>
      </c>
      <c r="E17" s="13" t="s">
        <v>386</v>
      </c>
      <c r="F17" s="22" t="s">
        <v>4</v>
      </c>
      <c r="G17" s="13" t="s">
        <v>0</v>
      </c>
      <c r="H17" s="12" t="s">
        <v>370</v>
      </c>
      <c r="I17" s="11">
        <v>350</v>
      </c>
      <c r="J17" s="10"/>
      <c r="K17" s="9">
        <v>350</v>
      </c>
      <c r="L17" s="8">
        <f t="shared" si="0"/>
        <v>0</v>
      </c>
    </row>
    <row r="18" spans="1:12" ht="162" customHeight="1" thickBot="1" x14ac:dyDescent="0.3">
      <c r="A18" s="47"/>
      <c r="B18" s="24" t="s">
        <v>32</v>
      </c>
      <c r="C18" s="12" t="s">
        <v>31</v>
      </c>
      <c r="D18" s="22" t="s">
        <v>24</v>
      </c>
      <c r="E18" s="13" t="s">
        <v>387</v>
      </c>
      <c r="F18" s="22" t="s">
        <v>4</v>
      </c>
      <c r="G18" s="13" t="s">
        <v>0</v>
      </c>
      <c r="H18" s="12" t="s">
        <v>370</v>
      </c>
      <c r="I18" s="11">
        <v>100</v>
      </c>
      <c r="J18" s="10"/>
      <c r="K18" s="9">
        <v>100</v>
      </c>
      <c r="L18" s="8">
        <f t="shared" si="0"/>
        <v>0</v>
      </c>
    </row>
    <row r="19" spans="1:12" ht="162" customHeight="1" thickBot="1" x14ac:dyDescent="0.3">
      <c r="A19" s="47"/>
      <c r="B19" s="24" t="s">
        <v>32</v>
      </c>
      <c r="C19" s="12" t="s">
        <v>31</v>
      </c>
      <c r="D19" s="22" t="s">
        <v>24</v>
      </c>
      <c r="E19" s="13" t="s">
        <v>355</v>
      </c>
      <c r="F19" s="22" t="s">
        <v>4</v>
      </c>
      <c r="G19" s="13" t="s">
        <v>0</v>
      </c>
      <c r="H19" s="12" t="s">
        <v>370</v>
      </c>
      <c r="I19" s="11">
        <v>200</v>
      </c>
      <c r="J19" s="10"/>
      <c r="K19" s="9">
        <v>200</v>
      </c>
      <c r="L19" s="8">
        <f t="shared" si="0"/>
        <v>0</v>
      </c>
    </row>
    <row r="20" spans="1:12" ht="162" customHeight="1" thickBot="1" x14ac:dyDescent="0.3">
      <c r="A20" s="47"/>
      <c r="B20" s="24" t="s">
        <v>32</v>
      </c>
      <c r="C20" s="12" t="s">
        <v>31</v>
      </c>
      <c r="D20" s="22" t="s">
        <v>24</v>
      </c>
      <c r="E20" s="13" t="s">
        <v>97</v>
      </c>
      <c r="F20" s="22" t="s">
        <v>4</v>
      </c>
      <c r="G20" s="13" t="s">
        <v>0</v>
      </c>
      <c r="H20" s="12" t="s">
        <v>370</v>
      </c>
      <c r="I20" s="11">
        <v>3000</v>
      </c>
      <c r="J20" s="10">
        <v>1000</v>
      </c>
      <c r="K20" s="9">
        <v>2000</v>
      </c>
      <c r="L20" s="8">
        <f t="shared" si="0"/>
        <v>0</v>
      </c>
    </row>
    <row r="21" spans="1:12" ht="162" customHeight="1" thickBot="1" x14ac:dyDescent="0.3">
      <c r="A21" s="47"/>
      <c r="B21" s="24" t="s">
        <v>32</v>
      </c>
      <c r="C21" s="12" t="s">
        <v>31</v>
      </c>
      <c r="D21" s="22" t="s">
        <v>24</v>
      </c>
      <c r="E21" s="13" t="s">
        <v>248</v>
      </c>
      <c r="F21" s="22" t="s">
        <v>4</v>
      </c>
      <c r="G21" s="13" t="s">
        <v>0</v>
      </c>
      <c r="H21" s="12" t="s">
        <v>370</v>
      </c>
      <c r="I21" s="11">
        <v>200</v>
      </c>
      <c r="J21" s="10"/>
      <c r="K21" s="9">
        <v>200</v>
      </c>
      <c r="L21" s="8">
        <f t="shared" si="0"/>
        <v>0</v>
      </c>
    </row>
    <row r="22" spans="1:12" ht="162" customHeight="1" thickBot="1" x14ac:dyDescent="0.3">
      <c r="A22" s="48"/>
      <c r="B22" s="24" t="s">
        <v>32</v>
      </c>
      <c r="C22" s="12" t="s">
        <v>31</v>
      </c>
      <c r="D22" s="12" t="s">
        <v>24</v>
      </c>
      <c r="E22" s="13" t="s">
        <v>138</v>
      </c>
      <c r="F22" s="22" t="s">
        <v>4</v>
      </c>
      <c r="G22" s="13" t="s">
        <v>0</v>
      </c>
      <c r="H22" s="12" t="s">
        <v>370</v>
      </c>
      <c r="I22" s="11">
        <v>450</v>
      </c>
      <c r="J22" s="10"/>
      <c r="K22" s="9">
        <v>450</v>
      </c>
      <c r="L22" s="8">
        <f t="shared" si="0"/>
        <v>0</v>
      </c>
    </row>
    <row r="23" spans="1:12" ht="162" customHeight="1" thickBot="1" x14ac:dyDescent="0.3">
      <c r="A23" s="46" t="s">
        <v>36</v>
      </c>
      <c r="B23" s="24" t="s">
        <v>99</v>
      </c>
      <c r="C23" s="12" t="s">
        <v>100</v>
      </c>
      <c r="D23" s="12" t="s">
        <v>24</v>
      </c>
      <c r="E23" s="13" t="s">
        <v>388</v>
      </c>
      <c r="F23" s="22" t="s">
        <v>102</v>
      </c>
      <c r="G23" s="13" t="s">
        <v>37</v>
      </c>
      <c r="H23" s="12" t="s">
        <v>370</v>
      </c>
      <c r="I23" s="11">
        <v>457</v>
      </c>
      <c r="J23" s="10"/>
      <c r="K23" s="9">
        <v>457</v>
      </c>
      <c r="L23" s="8">
        <f t="shared" si="0"/>
        <v>0</v>
      </c>
    </row>
    <row r="24" spans="1:12" ht="165.75" customHeight="1" thickBot="1" x14ac:dyDescent="0.3">
      <c r="A24" s="47"/>
      <c r="B24" s="24" t="s">
        <v>99</v>
      </c>
      <c r="C24" s="12" t="s">
        <v>100</v>
      </c>
      <c r="D24" s="12" t="s">
        <v>24</v>
      </c>
      <c r="E24" s="13" t="s">
        <v>342</v>
      </c>
      <c r="F24" s="22" t="s">
        <v>102</v>
      </c>
      <c r="G24" s="13" t="s">
        <v>8</v>
      </c>
      <c r="H24" s="12" t="s">
        <v>356</v>
      </c>
      <c r="I24" s="11">
        <v>1</v>
      </c>
      <c r="J24" s="10"/>
      <c r="K24" s="9">
        <v>1</v>
      </c>
      <c r="L24" s="8">
        <f t="shared" si="0"/>
        <v>0</v>
      </c>
    </row>
    <row r="25" spans="1:12" ht="165.75" customHeight="1" thickBot="1" x14ac:dyDescent="0.3">
      <c r="A25" s="47"/>
      <c r="B25" s="24" t="s">
        <v>99</v>
      </c>
      <c r="C25" s="12" t="s">
        <v>100</v>
      </c>
      <c r="D25" s="12" t="s">
        <v>24</v>
      </c>
      <c r="E25" s="13" t="s">
        <v>379</v>
      </c>
      <c r="F25" s="22" t="s">
        <v>102</v>
      </c>
      <c r="G25" s="13" t="s">
        <v>37</v>
      </c>
      <c r="H25" s="12" t="s">
        <v>356</v>
      </c>
      <c r="I25" s="11">
        <v>400</v>
      </c>
      <c r="J25" s="10"/>
      <c r="K25" s="9">
        <v>400</v>
      </c>
      <c r="L25" s="8">
        <f t="shared" si="0"/>
        <v>0</v>
      </c>
    </row>
    <row r="26" spans="1:12" ht="165.75" customHeight="1" thickBot="1" x14ac:dyDescent="0.3">
      <c r="A26" s="47"/>
      <c r="B26" s="24" t="s">
        <v>35</v>
      </c>
      <c r="C26" s="12" t="s">
        <v>34</v>
      </c>
      <c r="D26" s="12" t="s">
        <v>24</v>
      </c>
      <c r="E26" s="13" t="s">
        <v>33</v>
      </c>
      <c r="F26" s="22" t="s">
        <v>4</v>
      </c>
      <c r="G26" s="13" t="s">
        <v>0</v>
      </c>
      <c r="H26" s="12" t="s">
        <v>370</v>
      </c>
      <c r="I26" s="11">
        <v>2000</v>
      </c>
      <c r="J26" s="10">
        <v>1000</v>
      </c>
      <c r="K26" s="9">
        <v>1000</v>
      </c>
      <c r="L26" s="8">
        <f t="shared" si="0"/>
        <v>0</v>
      </c>
    </row>
    <row r="27" spans="1:12" ht="165.75" customHeight="1" thickBot="1" x14ac:dyDescent="0.3">
      <c r="A27" s="47"/>
      <c r="B27" s="24" t="s">
        <v>35</v>
      </c>
      <c r="C27" s="12" t="s">
        <v>34</v>
      </c>
      <c r="D27" s="12" t="s">
        <v>24</v>
      </c>
      <c r="E27" s="13" t="s">
        <v>33</v>
      </c>
      <c r="F27" s="22" t="s">
        <v>4</v>
      </c>
      <c r="G27" s="13" t="s">
        <v>0</v>
      </c>
      <c r="H27" s="12" t="s">
        <v>370</v>
      </c>
      <c r="I27" s="11">
        <v>2000</v>
      </c>
      <c r="J27" s="10"/>
      <c r="K27" s="9">
        <v>2000</v>
      </c>
      <c r="L27" s="8">
        <f t="shared" si="0"/>
        <v>0</v>
      </c>
    </row>
    <row r="28" spans="1:12" ht="165.75" customHeight="1" thickBot="1" x14ac:dyDescent="0.3">
      <c r="A28" s="47"/>
      <c r="B28" s="24" t="s">
        <v>61</v>
      </c>
      <c r="C28" s="12" t="s">
        <v>31</v>
      </c>
      <c r="D28" s="12" t="s">
        <v>24</v>
      </c>
      <c r="E28" s="13" t="s">
        <v>116</v>
      </c>
      <c r="F28" s="22" t="s">
        <v>9</v>
      </c>
      <c r="G28" s="13" t="s">
        <v>0</v>
      </c>
      <c r="H28" s="12" t="s">
        <v>381</v>
      </c>
      <c r="I28" s="11">
        <v>3000</v>
      </c>
      <c r="J28" s="10"/>
      <c r="K28" s="9">
        <v>3000</v>
      </c>
      <c r="L28" s="8">
        <f t="shared" si="0"/>
        <v>0</v>
      </c>
    </row>
    <row r="29" spans="1:12" ht="165.75" customHeight="1" thickBot="1" x14ac:dyDescent="0.3">
      <c r="A29" s="47"/>
      <c r="B29" s="24" t="s">
        <v>61</v>
      </c>
      <c r="C29" s="12" t="s">
        <v>31</v>
      </c>
      <c r="D29" s="12" t="s">
        <v>24</v>
      </c>
      <c r="E29" s="13" t="s">
        <v>355</v>
      </c>
      <c r="F29" s="22" t="s">
        <v>4</v>
      </c>
      <c r="G29" s="13" t="s">
        <v>8</v>
      </c>
      <c r="H29" s="12" t="s">
        <v>370</v>
      </c>
      <c r="I29" s="11">
        <v>200</v>
      </c>
      <c r="J29" s="10"/>
      <c r="K29" s="9">
        <v>200</v>
      </c>
      <c r="L29" s="8">
        <f t="shared" si="0"/>
        <v>0</v>
      </c>
    </row>
    <row r="30" spans="1:12" ht="165.75" customHeight="1" thickBot="1" x14ac:dyDescent="0.3">
      <c r="A30" s="47"/>
      <c r="B30" s="24" t="s">
        <v>61</v>
      </c>
      <c r="C30" s="12" t="s">
        <v>31</v>
      </c>
      <c r="D30" s="12" t="s">
        <v>24</v>
      </c>
      <c r="E30" s="13" t="s">
        <v>97</v>
      </c>
      <c r="F30" s="22" t="s">
        <v>4</v>
      </c>
      <c r="G30" s="13" t="s">
        <v>0</v>
      </c>
      <c r="H30" s="12" t="s">
        <v>370</v>
      </c>
      <c r="I30" s="11">
        <v>1000</v>
      </c>
      <c r="J30" s="10"/>
      <c r="K30" s="9">
        <v>1000</v>
      </c>
      <c r="L30" s="8">
        <f t="shared" si="0"/>
        <v>0</v>
      </c>
    </row>
    <row r="31" spans="1:12" ht="165.75" customHeight="1" thickBot="1" x14ac:dyDescent="0.3">
      <c r="A31" s="47"/>
      <c r="B31" s="24" t="s">
        <v>61</v>
      </c>
      <c r="C31" s="12" t="s">
        <v>31</v>
      </c>
      <c r="D31" s="12" t="s">
        <v>24</v>
      </c>
      <c r="E31" s="13" t="s">
        <v>248</v>
      </c>
      <c r="F31" s="22" t="s">
        <v>4</v>
      </c>
      <c r="G31" s="13" t="s">
        <v>0</v>
      </c>
      <c r="H31" s="12" t="s">
        <v>370</v>
      </c>
      <c r="I31" s="11">
        <v>200</v>
      </c>
      <c r="J31" s="10"/>
      <c r="K31" s="9">
        <v>200</v>
      </c>
      <c r="L31" s="8">
        <f t="shared" si="0"/>
        <v>0</v>
      </c>
    </row>
    <row r="32" spans="1:12" ht="165.75" customHeight="1" thickBot="1" x14ac:dyDescent="0.3">
      <c r="A32" s="47"/>
      <c r="B32" s="24" t="s">
        <v>61</v>
      </c>
      <c r="C32" s="12" t="s">
        <v>31</v>
      </c>
      <c r="D32" s="12" t="s">
        <v>24</v>
      </c>
      <c r="E32" s="13" t="s">
        <v>138</v>
      </c>
      <c r="F32" s="22" t="s">
        <v>4</v>
      </c>
      <c r="G32" s="13" t="s">
        <v>0</v>
      </c>
      <c r="H32" s="12" t="s">
        <v>370</v>
      </c>
      <c r="I32" s="11">
        <v>450</v>
      </c>
      <c r="J32" s="10"/>
      <c r="K32" s="9">
        <v>450</v>
      </c>
      <c r="L32" s="8">
        <f t="shared" si="0"/>
        <v>0</v>
      </c>
    </row>
    <row r="33" spans="1:12" ht="165.75" customHeight="1" thickBot="1" x14ac:dyDescent="0.3">
      <c r="A33" s="47"/>
      <c r="B33" s="24" t="s">
        <v>32</v>
      </c>
      <c r="C33" s="12" t="s">
        <v>31</v>
      </c>
      <c r="D33" s="12" t="s">
        <v>24</v>
      </c>
      <c r="E33" s="13" t="s">
        <v>386</v>
      </c>
      <c r="F33" s="22" t="s">
        <v>4</v>
      </c>
      <c r="G33" s="13" t="s">
        <v>0</v>
      </c>
      <c r="H33" s="12" t="s">
        <v>370</v>
      </c>
      <c r="I33" s="11">
        <v>350</v>
      </c>
      <c r="J33" s="10"/>
      <c r="K33" s="9">
        <v>350</v>
      </c>
      <c r="L33" s="8">
        <f t="shared" si="0"/>
        <v>0</v>
      </c>
    </row>
    <row r="34" spans="1:12" ht="165.75" customHeight="1" thickBot="1" x14ac:dyDescent="0.3">
      <c r="A34" s="47"/>
      <c r="B34" s="24" t="s">
        <v>32</v>
      </c>
      <c r="C34" s="12" t="s">
        <v>31</v>
      </c>
      <c r="D34" s="12" t="s">
        <v>24</v>
      </c>
      <c r="E34" s="13" t="s">
        <v>387</v>
      </c>
      <c r="F34" s="22" t="s">
        <v>4</v>
      </c>
      <c r="G34" s="13" t="s">
        <v>0</v>
      </c>
      <c r="H34" s="12" t="s">
        <v>370</v>
      </c>
      <c r="I34" s="11">
        <v>100</v>
      </c>
      <c r="J34" s="10"/>
      <c r="K34" s="9">
        <v>100</v>
      </c>
      <c r="L34" s="8">
        <f t="shared" si="0"/>
        <v>0</v>
      </c>
    </row>
    <row r="35" spans="1:12" ht="165.75" customHeight="1" thickBot="1" x14ac:dyDescent="0.3">
      <c r="A35" s="47"/>
      <c r="B35" s="24" t="s">
        <v>32</v>
      </c>
      <c r="C35" s="12" t="s">
        <v>31</v>
      </c>
      <c r="D35" s="12" t="s">
        <v>24</v>
      </c>
      <c r="E35" s="13" t="s">
        <v>97</v>
      </c>
      <c r="F35" s="22" t="s">
        <v>4</v>
      </c>
      <c r="G35" s="13" t="s">
        <v>0</v>
      </c>
      <c r="H35" s="12" t="s">
        <v>370</v>
      </c>
      <c r="I35" s="11">
        <v>2000</v>
      </c>
      <c r="J35" s="10"/>
      <c r="K35" s="9">
        <v>2000</v>
      </c>
      <c r="L35" s="8">
        <f t="shared" si="0"/>
        <v>0</v>
      </c>
    </row>
    <row r="36" spans="1:12" ht="165.75" customHeight="1" thickBot="1" x14ac:dyDescent="0.3">
      <c r="A36" s="47"/>
      <c r="B36" s="24" t="s">
        <v>32</v>
      </c>
      <c r="C36" s="12" t="s">
        <v>31</v>
      </c>
      <c r="D36" s="12" t="s">
        <v>24</v>
      </c>
      <c r="E36" s="13" t="s">
        <v>97</v>
      </c>
      <c r="F36" s="22" t="s">
        <v>4</v>
      </c>
      <c r="G36" s="13" t="s">
        <v>0</v>
      </c>
      <c r="H36" s="12" t="s">
        <v>370</v>
      </c>
      <c r="I36" s="11">
        <v>2000</v>
      </c>
      <c r="J36" s="10"/>
      <c r="K36" s="9">
        <v>2000</v>
      </c>
      <c r="L36" s="8">
        <f t="shared" si="0"/>
        <v>0</v>
      </c>
    </row>
    <row r="37" spans="1:12" ht="165.75" customHeight="1" thickBot="1" x14ac:dyDescent="0.3">
      <c r="A37" s="47"/>
      <c r="B37" s="24" t="s">
        <v>40</v>
      </c>
      <c r="C37" s="12" t="s">
        <v>27</v>
      </c>
      <c r="D37" s="12" t="s">
        <v>24</v>
      </c>
      <c r="E37" s="13" t="s">
        <v>39</v>
      </c>
      <c r="F37" s="22" t="s">
        <v>4</v>
      </c>
      <c r="G37" s="13" t="s">
        <v>0</v>
      </c>
      <c r="H37" s="12" t="s">
        <v>356</v>
      </c>
      <c r="I37" s="11">
        <v>500</v>
      </c>
      <c r="J37" s="10"/>
      <c r="K37" s="9">
        <v>500</v>
      </c>
      <c r="L37" s="8">
        <f t="shared" si="0"/>
        <v>0</v>
      </c>
    </row>
    <row r="38" spans="1:12" ht="165.75" customHeight="1" thickBot="1" x14ac:dyDescent="0.3">
      <c r="A38" s="47"/>
      <c r="B38" s="24" t="s">
        <v>40</v>
      </c>
      <c r="C38" s="12" t="s">
        <v>27</v>
      </c>
      <c r="D38" s="12" t="s">
        <v>24</v>
      </c>
      <c r="E38" s="13" t="s">
        <v>377</v>
      </c>
      <c r="F38" s="22" t="s">
        <v>9</v>
      </c>
      <c r="G38" s="13" t="s">
        <v>0</v>
      </c>
      <c r="H38" s="12" t="s">
        <v>370</v>
      </c>
      <c r="I38" s="11">
        <v>1000</v>
      </c>
      <c r="J38" s="10">
        <v>1000</v>
      </c>
      <c r="K38" s="9"/>
      <c r="L38" s="8">
        <f t="shared" si="0"/>
        <v>0</v>
      </c>
    </row>
    <row r="39" spans="1:12" ht="165.75" customHeight="1" thickBot="1" x14ac:dyDescent="0.3">
      <c r="A39" s="47"/>
      <c r="B39" s="24" t="s">
        <v>284</v>
      </c>
      <c r="C39" s="12" t="s">
        <v>113</v>
      </c>
      <c r="D39" s="12" t="s">
        <v>24</v>
      </c>
      <c r="E39" s="13" t="s">
        <v>114</v>
      </c>
      <c r="F39" s="22" t="s">
        <v>4</v>
      </c>
      <c r="G39" s="13" t="s">
        <v>0</v>
      </c>
      <c r="H39" s="12" t="s">
        <v>370</v>
      </c>
      <c r="I39" s="11">
        <v>2000</v>
      </c>
      <c r="J39" s="10"/>
      <c r="K39" s="9">
        <v>2000</v>
      </c>
      <c r="L39" s="8">
        <f t="shared" si="0"/>
        <v>0</v>
      </c>
    </row>
    <row r="40" spans="1:12" ht="165.75" customHeight="1" thickBot="1" x14ac:dyDescent="0.3">
      <c r="A40" s="47"/>
      <c r="B40" s="24" t="s">
        <v>284</v>
      </c>
      <c r="C40" s="12" t="s">
        <v>113</v>
      </c>
      <c r="D40" s="12" t="s">
        <v>24</v>
      </c>
      <c r="E40" s="13" t="s">
        <v>114</v>
      </c>
      <c r="F40" s="22" t="s">
        <v>4</v>
      </c>
      <c r="G40" s="13" t="s">
        <v>0</v>
      </c>
      <c r="H40" s="12" t="s">
        <v>370</v>
      </c>
      <c r="I40" s="11">
        <v>1000</v>
      </c>
      <c r="J40" s="10"/>
      <c r="K40" s="9">
        <v>1000</v>
      </c>
      <c r="L40" s="8">
        <f t="shared" si="0"/>
        <v>0</v>
      </c>
    </row>
    <row r="41" spans="1:12" ht="165.75" customHeight="1" thickBot="1" x14ac:dyDescent="0.3">
      <c r="A41" s="47"/>
      <c r="B41" s="24" t="s">
        <v>95</v>
      </c>
      <c r="C41" s="12" t="s">
        <v>15</v>
      </c>
      <c r="D41" s="12" t="s">
        <v>24</v>
      </c>
      <c r="E41" s="13" t="s">
        <v>96</v>
      </c>
      <c r="F41" s="22" t="s">
        <v>4</v>
      </c>
      <c r="G41" s="13" t="s">
        <v>0</v>
      </c>
      <c r="H41" s="12" t="s">
        <v>370</v>
      </c>
      <c r="I41" s="11">
        <v>2000</v>
      </c>
      <c r="J41" s="10">
        <v>1000</v>
      </c>
      <c r="K41" s="9">
        <v>1000</v>
      </c>
      <c r="L41" s="8">
        <f t="shared" si="0"/>
        <v>0</v>
      </c>
    </row>
    <row r="42" spans="1:12" ht="165.75" customHeight="1" thickBot="1" x14ac:dyDescent="0.3">
      <c r="A42" s="47"/>
      <c r="B42" s="24" t="s">
        <v>38</v>
      </c>
      <c r="C42" s="12" t="s">
        <v>27</v>
      </c>
      <c r="D42" s="12" t="s">
        <v>24</v>
      </c>
      <c r="E42" s="13" t="s">
        <v>39</v>
      </c>
      <c r="F42" s="22" t="s">
        <v>4</v>
      </c>
      <c r="G42" s="13" t="s">
        <v>0</v>
      </c>
      <c r="H42" s="12" t="s">
        <v>370</v>
      </c>
      <c r="I42" s="11">
        <v>800</v>
      </c>
      <c r="J42" s="10"/>
      <c r="K42" s="9">
        <v>800</v>
      </c>
      <c r="L42" s="8">
        <f t="shared" si="0"/>
        <v>0</v>
      </c>
    </row>
    <row r="43" spans="1:12" ht="165.75" customHeight="1" thickBot="1" x14ac:dyDescent="0.3">
      <c r="A43" s="47"/>
      <c r="B43" s="24" t="s">
        <v>38</v>
      </c>
      <c r="C43" s="12" t="s">
        <v>27</v>
      </c>
      <c r="D43" s="12" t="s">
        <v>24</v>
      </c>
      <c r="E43" s="13" t="s">
        <v>111</v>
      </c>
      <c r="F43" s="22" t="s">
        <v>4</v>
      </c>
      <c r="G43" s="13" t="s">
        <v>0</v>
      </c>
      <c r="H43" s="12" t="s">
        <v>370</v>
      </c>
      <c r="I43" s="11">
        <v>3000</v>
      </c>
      <c r="J43" s="10">
        <v>1000</v>
      </c>
      <c r="K43" s="9">
        <v>2000</v>
      </c>
      <c r="L43" s="8">
        <f t="shared" si="0"/>
        <v>0</v>
      </c>
    </row>
    <row r="44" spans="1:12" ht="165.75" customHeight="1" thickBot="1" x14ac:dyDescent="0.3">
      <c r="A44" s="47"/>
      <c r="B44" s="24" t="s">
        <v>77</v>
      </c>
      <c r="C44" s="12" t="s">
        <v>27</v>
      </c>
      <c r="D44" s="12" t="s">
        <v>24</v>
      </c>
      <c r="E44" s="13" t="s">
        <v>76</v>
      </c>
      <c r="F44" s="22" t="s">
        <v>4</v>
      </c>
      <c r="G44" s="13" t="s">
        <v>0</v>
      </c>
      <c r="H44" s="12" t="s">
        <v>370</v>
      </c>
      <c r="I44" s="11">
        <v>2000</v>
      </c>
      <c r="J44" s="10">
        <v>1000</v>
      </c>
      <c r="K44" s="9">
        <v>1000</v>
      </c>
      <c r="L44" s="8">
        <f t="shared" si="0"/>
        <v>0</v>
      </c>
    </row>
    <row r="45" spans="1:12" ht="165.75" customHeight="1" thickBot="1" x14ac:dyDescent="0.3">
      <c r="A45" s="48"/>
      <c r="B45" s="24" t="s">
        <v>77</v>
      </c>
      <c r="C45" s="12" t="s">
        <v>27</v>
      </c>
      <c r="D45" s="12" t="s">
        <v>24</v>
      </c>
      <c r="E45" s="13" t="s">
        <v>111</v>
      </c>
      <c r="F45" s="22" t="s">
        <v>4</v>
      </c>
      <c r="G45" s="13" t="s">
        <v>0</v>
      </c>
      <c r="H45" s="12" t="s">
        <v>370</v>
      </c>
      <c r="I45" s="11">
        <v>2000</v>
      </c>
      <c r="J45" s="10"/>
      <c r="K45" s="9">
        <v>2000</v>
      </c>
      <c r="L45" s="8">
        <f t="shared" si="0"/>
        <v>0</v>
      </c>
    </row>
    <row r="46" spans="1:12" ht="165.75" customHeight="1" thickBot="1" x14ac:dyDescent="0.3">
      <c r="A46" s="46" t="s">
        <v>23</v>
      </c>
      <c r="B46" s="24" t="s">
        <v>12</v>
      </c>
      <c r="C46" s="12" t="s">
        <v>6</v>
      </c>
      <c r="D46" s="12" t="s">
        <v>20</v>
      </c>
      <c r="E46" s="13" t="s">
        <v>22</v>
      </c>
      <c r="F46" s="22" t="s">
        <v>4</v>
      </c>
      <c r="G46" s="13" t="s">
        <v>0</v>
      </c>
      <c r="H46" s="12" t="s">
        <v>370</v>
      </c>
      <c r="I46" s="11">
        <v>5000</v>
      </c>
      <c r="J46" s="10"/>
      <c r="K46" s="9">
        <v>5000</v>
      </c>
      <c r="L46" s="8">
        <f t="shared" si="0"/>
        <v>0</v>
      </c>
    </row>
    <row r="47" spans="1:12" ht="165.75" customHeight="1" thickBot="1" x14ac:dyDescent="0.3">
      <c r="A47" s="47"/>
      <c r="B47" s="24" t="s">
        <v>21</v>
      </c>
      <c r="C47" s="12" t="s">
        <v>118</v>
      </c>
      <c r="D47" s="12" t="s">
        <v>20</v>
      </c>
      <c r="E47" s="13" t="s">
        <v>222</v>
      </c>
      <c r="F47" s="22" t="s">
        <v>4</v>
      </c>
      <c r="G47" s="13" t="s">
        <v>0</v>
      </c>
      <c r="H47" s="12" t="s">
        <v>370</v>
      </c>
      <c r="I47" s="11">
        <v>3000</v>
      </c>
      <c r="J47" s="10">
        <v>1000</v>
      </c>
      <c r="K47" s="9">
        <v>2000</v>
      </c>
      <c r="L47" s="8">
        <f t="shared" si="0"/>
        <v>0</v>
      </c>
    </row>
    <row r="48" spans="1:12" ht="165.75" customHeight="1" thickBot="1" x14ac:dyDescent="0.3">
      <c r="A48" s="47"/>
      <c r="B48" s="24" t="s">
        <v>21</v>
      </c>
      <c r="C48" s="12" t="s">
        <v>118</v>
      </c>
      <c r="D48" s="12" t="s">
        <v>20</v>
      </c>
      <c r="E48" s="13" t="s">
        <v>222</v>
      </c>
      <c r="F48" s="22" t="s">
        <v>4</v>
      </c>
      <c r="G48" s="13" t="s">
        <v>0</v>
      </c>
      <c r="H48" s="12" t="s">
        <v>370</v>
      </c>
      <c r="I48" s="11">
        <v>2000</v>
      </c>
      <c r="J48" s="10"/>
      <c r="K48" s="9">
        <v>2000</v>
      </c>
      <c r="L48" s="8">
        <f t="shared" si="0"/>
        <v>0</v>
      </c>
    </row>
    <row r="49" spans="1:12" ht="165.75" customHeight="1" thickBot="1" x14ac:dyDescent="0.3">
      <c r="A49" s="47"/>
      <c r="B49" s="24" t="s">
        <v>21</v>
      </c>
      <c r="C49" s="12" t="s">
        <v>118</v>
      </c>
      <c r="D49" s="12" t="s">
        <v>20</v>
      </c>
      <c r="E49" s="13" t="s">
        <v>119</v>
      </c>
      <c r="F49" s="22" t="s">
        <v>4</v>
      </c>
      <c r="G49" s="13" t="s">
        <v>0</v>
      </c>
      <c r="H49" s="12" t="s">
        <v>370</v>
      </c>
      <c r="I49" s="11">
        <v>1500</v>
      </c>
      <c r="J49" s="10"/>
      <c r="K49" s="9">
        <v>1500</v>
      </c>
      <c r="L49" s="8">
        <f t="shared" si="0"/>
        <v>0</v>
      </c>
    </row>
    <row r="50" spans="1:12" ht="165.75" customHeight="1" thickBot="1" x14ac:dyDescent="0.3">
      <c r="A50" s="48"/>
      <c r="B50" s="24" t="s">
        <v>21</v>
      </c>
      <c r="C50" s="12" t="s">
        <v>3</v>
      </c>
      <c r="D50" s="12" t="s">
        <v>20</v>
      </c>
      <c r="E50" s="13" t="s">
        <v>56</v>
      </c>
      <c r="F50" s="22" t="s">
        <v>9</v>
      </c>
      <c r="G50" s="13" t="s">
        <v>0</v>
      </c>
      <c r="H50" s="12" t="s">
        <v>370</v>
      </c>
      <c r="I50" s="11">
        <v>5000</v>
      </c>
      <c r="J50" s="10"/>
      <c r="K50" s="9">
        <v>5000</v>
      </c>
      <c r="L50" s="8">
        <f t="shared" si="0"/>
        <v>0</v>
      </c>
    </row>
    <row r="51" spans="1:12" ht="165.75" customHeight="1" thickBot="1" x14ac:dyDescent="0.3">
      <c r="A51" s="46" t="s">
        <v>19</v>
      </c>
      <c r="B51" s="24" t="s">
        <v>18</v>
      </c>
      <c r="C51" s="12" t="s">
        <v>17</v>
      </c>
      <c r="D51" s="12" t="s">
        <v>14</v>
      </c>
      <c r="E51" s="13" t="s">
        <v>16</v>
      </c>
      <c r="F51" s="22" t="s">
        <v>9</v>
      </c>
      <c r="G51" s="13" t="s">
        <v>0</v>
      </c>
      <c r="H51" s="12" t="s">
        <v>370</v>
      </c>
      <c r="I51" s="11">
        <v>2000</v>
      </c>
      <c r="J51" s="10"/>
      <c r="K51" s="9">
        <v>2000</v>
      </c>
      <c r="L51" s="8">
        <f t="shared" si="0"/>
        <v>0</v>
      </c>
    </row>
    <row r="52" spans="1:12" ht="165.75" customHeight="1" thickBot="1" x14ac:dyDescent="0.3">
      <c r="A52" s="47"/>
      <c r="B52" s="24" t="s">
        <v>7</v>
      </c>
      <c r="C52" s="12" t="s">
        <v>17</v>
      </c>
      <c r="D52" s="12" t="s">
        <v>120</v>
      </c>
      <c r="E52" s="13" t="s">
        <v>121</v>
      </c>
      <c r="F52" s="22" t="s">
        <v>122</v>
      </c>
      <c r="G52" s="13" t="s">
        <v>0</v>
      </c>
      <c r="H52" s="12" t="s">
        <v>370</v>
      </c>
      <c r="I52" s="11">
        <v>7000</v>
      </c>
      <c r="J52" s="10">
        <v>1000</v>
      </c>
      <c r="K52" s="9">
        <v>6000</v>
      </c>
      <c r="L52" s="8">
        <f t="shared" si="0"/>
        <v>0</v>
      </c>
    </row>
    <row r="53" spans="1:12" ht="165.75" customHeight="1" thickBot="1" x14ac:dyDescent="0.3">
      <c r="A53" s="47"/>
      <c r="B53" s="24" t="s">
        <v>7</v>
      </c>
      <c r="C53" s="12" t="s">
        <v>15</v>
      </c>
      <c r="D53" s="12" t="s">
        <v>14</v>
      </c>
      <c r="E53" s="13" t="s">
        <v>13</v>
      </c>
      <c r="F53" s="22" t="s">
        <v>4</v>
      </c>
      <c r="G53" s="13" t="s">
        <v>0</v>
      </c>
      <c r="H53" s="12" t="s">
        <v>370</v>
      </c>
      <c r="I53" s="11">
        <v>1380</v>
      </c>
      <c r="J53" s="10">
        <v>500</v>
      </c>
      <c r="K53" s="9">
        <v>880</v>
      </c>
      <c r="L53" s="8">
        <f t="shared" si="0"/>
        <v>0</v>
      </c>
    </row>
    <row r="54" spans="1:12" ht="165.75" customHeight="1" thickBot="1" x14ac:dyDescent="0.3">
      <c r="A54" s="47"/>
      <c r="B54" s="24" t="s">
        <v>7</v>
      </c>
      <c r="C54" s="12" t="s">
        <v>15</v>
      </c>
      <c r="D54" s="12" t="s">
        <v>14</v>
      </c>
      <c r="E54" s="13" t="s">
        <v>58</v>
      </c>
      <c r="F54" s="22" t="s">
        <v>4</v>
      </c>
      <c r="G54" s="13" t="s">
        <v>0</v>
      </c>
      <c r="H54" s="12" t="s">
        <v>370</v>
      </c>
      <c r="I54" s="11">
        <v>1350</v>
      </c>
      <c r="J54" s="10">
        <v>500</v>
      </c>
      <c r="K54" s="9">
        <v>850</v>
      </c>
      <c r="L54" s="8">
        <f t="shared" si="0"/>
        <v>0</v>
      </c>
    </row>
    <row r="55" spans="1:12" ht="165.75" customHeight="1" thickBot="1" x14ac:dyDescent="0.3">
      <c r="A55" s="47"/>
      <c r="B55" s="24" t="s">
        <v>12</v>
      </c>
      <c r="C55" s="12" t="s">
        <v>118</v>
      </c>
      <c r="D55" s="12" t="s">
        <v>123</v>
      </c>
      <c r="E55" s="13" t="s">
        <v>124</v>
      </c>
      <c r="F55" s="22" t="s">
        <v>380</v>
      </c>
      <c r="G55" s="13" t="s">
        <v>0</v>
      </c>
      <c r="H55" s="12" t="s">
        <v>370</v>
      </c>
      <c r="I55" s="11">
        <v>2000</v>
      </c>
      <c r="J55" s="10">
        <v>1000</v>
      </c>
      <c r="K55" s="9">
        <v>1000</v>
      </c>
      <c r="L55" s="8">
        <f t="shared" si="0"/>
        <v>0</v>
      </c>
    </row>
    <row r="56" spans="1:12" ht="165.75" customHeight="1" thickBot="1" x14ac:dyDescent="0.3">
      <c r="A56" s="47"/>
      <c r="B56" s="24" t="s">
        <v>12</v>
      </c>
      <c r="C56" s="12" t="s">
        <v>3</v>
      </c>
      <c r="D56" s="12" t="s">
        <v>11</v>
      </c>
      <c r="E56" s="13" t="s">
        <v>10</v>
      </c>
      <c r="F56" s="22" t="s">
        <v>9</v>
      </c>
      <c r="G56" s="13" t="s">
        <v>0</v>
      </c>
      <c r="H56" s="12" t="s">
        <v>370</v>
      </c>
      <c r="I56" s="11">
        <v>10000</v>
      </c>
      <c r="J56" s="10"/>
      <c r="K56" s="9">
        <v>10000</v>
      </c>
      <c r="L56" s="8">
        <f t="shared" si="0"/>
        <v>0</v>
      </c>
    </row>
    <row r="57" spans="1:12" ht="165.75" customHeight="1" thickBot="1" x14ac:dyDescent="0.3">
      <c r="A57" s="47"/>
      <c r="B57" s="24" t="s">
        <v>12</v>
      </c>
      <c r="C57" s="12" t="s">
        <v>3</v>
      </c>
      <c r="D57" s="12" t="s">
        <v>11</v>
      </c>
      <c r="E57" s="13" t="s">
        <v>10</v>
      </c>
      <c r="F57" s="22" t="s">
        <v>4</v>
      </c>
      <c r="G57" s="13" t="s">
        <v>0</v>
      </c>
      <c r="H57" s="12" t="s">
        <v>370</v>
      </c>
      <c r="I57" s="11">
        <v>8000</v>
      </c>
      <c r="J57" s="10"/>
      <c r="K57" s="9">
        <v>8000</v>
      </c>
      <c r="L57" s="8">
        <f t="shared" si="0"/>
        <v>0</v>
      </c>
    </row>
    <row r="58" spans="1:12" ht="165.75" customHeight="1" thickBot="1" x14ac:dyDescent="0.3">
      <c r="A58" s="47"/>
      <c r="B58" s="24" t="s">
        <v>7</v>
      </c>
      <c r="C58" s="12" t="s">
        <v>6</v>
      </c>
      <c r="D58" s="12" t="s">
        <v>1</v>
      </c>
      <c r="E58" s="13" t="s">
        <v>5</v>
      </c>
      <c r="F58" s="22" t="s">
        <v>4</v>
      </c>
      <c r="G58" s="13" t="s">
        <v>0</v>
      </c>
      <c r="H58" s="12" t="s">
        <v>370</v>
      </c>
      <c r="I58" s="11">
        <v>6000</v>
      </c>
      <c r="J58" s="10"/>
      <c r="K58" s="9">
        <v>6000</v>
      </c>
      <c r="L58" s="8">
        <f t="shared" si="0"/>
        <v>0</v>
      </c>
    </row>
    <row r="59" spans="1:12" ht="165.75" customHeight="1" thickBot="1" x14ac:dyDescent="0.3">
      <c r="A59" s="47"/>
      <c r="B59" s="24" t="s">
        <v>7</v>
      </c>
      <c r="C59" s="12" t="s">
        <v>6</v>
      </c>
      <c r="D59" s="12" t="s">
        <v>1</v>
      </c>
      <c r="E59" s="13" t="s">
        <v>5</v>
      </c>
      <c r="F59" s="22" t="s">
        <v>4</v>
      </c>
      <c r="G59" s="13" t="s">
        <v>0</v>
      </c>
      <c r="H59" s="12" t="s">
        <v>370</v>
      </c>
      <c r="I59" s="11">
        <v>2000</v>
      </c>
      <c r="J59" s="10"/>
      <c r="K59" s="9">
        <v>2000</v>
      </c>
      <c r="L59" s="8">
        <f t="shared" si="0"/>
        <v>0</v>
      </c>
    </row>
    <row r="60" spans="1:12" ht="165.75" customHeight="1" thickBot="1" x14ac:dyDescent="0.3">
      <c r="A60" s="48"/>
      <c r="B60" s="24" t="s">
        <v>194</v>
      </c>
      <c r="C60" s="12" t="s">
        <v>118</v>
      </c>
      <c r="D60" s="12" t="s">
        <v>1</v>
      </c>
      <c r="E60" s="13" t="s">
        <v>216</v>
      </c>
      <c r="F60" s="22" t="s">
        <v>122</v>
      </c>
      <c r="G60" s="13" t="s">
        <v>0</v>
      </c>
      <c r="H60" s="12" t="s">
        <v>381</v>
      </c>
      <c r="I60" s="11">
        <v>2000</v>
      </c>
      <c r="J60" s="10">
        <v>1000</v>
      </c>
      <c r="K60" s="9">
        <v>1000</v>
      </c>
      <c r="L60" s="8">
        <f t="shared" si="0"/>
        <v>0</v>
      </c>
    </row>
  </sheetData>
  <autoFilter ref="A2:L40"/>
  <dataConsolidate/>
  <mergeCells count="5">
    <mergeCell ref="A46:A50"/>
    <mergeCell ref="A51:A60"/>
    <mergeCell ref="A1:L1"/>
    <mergeCell ref="A3:A22"/>
    <mergeCell ref="A23:A45"/>
  </mergeCells>
  <conditionalFormatting sqref="I2:I33 K3:L33">
    <cfRule type="cellIs" dxfId="58" priority="5" operator="lessThan">
      <formula>0</formula>
    </cfRule>
  </conditionalFormatting>
  <conditionalFormatting sqref="L2">
    <cfRule type="cellIs" dxfId="57" priority="4" operator="lessThan">
      <formula>0</formula>
    </cfRule>
  </conditionalFormatting>
  <conditionalFormatting sqref="I34:I36 K34:L36">
    <cfRule type="cellIs" dxfId="56" priority="3" operator="lessThan">
      <formula>0</formula>
    </cfRule>
  </conditionalFormatting>
  <conditionalFormatting sqref="I37:I55 K37:L40 K41:K55 L41:L60">
    <cfRule type="cellIs" dxfId="55" priority="2" operator="lessThan">
      <formula>0</formula>
    </cfRule>
  </conditionalFormatting>
  <conditionalFormatting sqref="I56:I60 K56:K60">
    <cfRule type="cellIs" dxfId="54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3"/>
  <sheetViews>
    <sheetView showGridLines="0" view="pageBreakPreview" zoomScale="20" zoomScaleNormal="15" zoomScaleSheetLayoutView="20" workbookViewId="0">
      <selection activeCell="K29" sqref="K29:K43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384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118</v>
      </c>
      <c r="D3" s="12" t="s">
        <v>126</v>
      </c>
      <c r="E3" s="13" t="s">
        <v>221</v>
      </c>
      <c r="F3" s="22" t="s">
        <v>122</v>
      </c>
      <c r="G3" s="13" t="s">
        <v>0</v>
      </c>
      <c r="H3" s="12" t="s">
        <v>381</v>
      </c>
      <c r="I3" s="11">
        <v>2000</v>
      </c>
      <c r="J3" s="10">
        <v>1000</v>
      </c>
      <c r="K3" s="9">
        <v>1000</v>
      </c>
      <c r="L3" s="8">
        <f t="shared" ref="L3:L43" si="0">K3+J3-I3</f>
        <v>0</v>
      </c>
    </row>
    <row r="4" spans="1:12" ht="162" customHeight="1" thickBot="1" x14ac:dyDescent="0.3">
      <c r="A4" s="47"/>
      <c r="B4" s="13" t="s">
        <v>136</v>
      </c>
      <c r="C4" s="12" t="s">
        <v>3</v>
      </c>
      <c r="D4" s="12" t="s">
        <v>126</v>
      </c>
      <c r="E4" s="13" t="s">
        <v>153</v>
      </c>
      <c r="F4" s="22" t="s">
        <v>122</v>
      </c>
      <c r="G4" s="13" t="s">
        <v>0</v>
      </c>
      <c r="H4" s="12" t="s">
        <v>381</v>
      </c>
      <c r="I4" s="11">
        <v>2000</v>
      </c>
      <c r="J4" s="10">
        <v>1000</v>
      </c>
      <c r="K4" s="9">
        <v>1000</v>
      </c>
      <c r="L4" s="8">
        <f t="shared" si="0"/>
        <v>0</v>
      </c>
    </row>
    <row r="5" spans="1:12" ht="162" customHeight="1" thickBot="1" x14ac:dyDescent="0.3">
      <c r="A5" s="47"/>
      <c r="B5" s="13" t="s">
        <v>325</v>
      </c>
      <c r="C5" s="12" t="s">
        <v>34</v>
      </c>
      <c r="D5" s="12" t="s">
        <v>24</v>
      </c>
      <c r="E5" s="13" t="s">
        <v>33</v>
      </c>
      <c r="F5" s="22" t="s">
        <v>4</v>
      </c>
      <c r="G5" s="13" t="s">
        <v>0</v>
      </c>
      <c r="H5" s="12" t="s">
        <v>381</v>
      </c>
      <c r="I5" s="11">
        <v>3082</v>
      </c>
      <c r="J5" s="10">
        <v>1200</v>
      </c>
      <c r="K5" s="9">
        <v>1882</v>
      </c>
      <c r="L5" s="8">
        <f t="shared" si="0"/>
        <v>0</v>
      </c>
    </row>
    <row r="6" spans="1:12" ht="162" customHeight="1" thickBot="1" x14ac:dyDescent="0.3">
      <c r="A6" s="47"/>
      <c r="B6" s="13" t="s">
        <v>95</v>
      </c>
      <c r="C6" s="12" t="s">
        <v>15</v>
      </c>
      <c r="D6" s="12" t="s">
        <v>24</v>
      </c>
      <c r="E6" s="13" t="s">
        <v>96</v>
      </c>
      <c r="F6" s="22" t="s">
        <v>4</v>
      </c>
      <c r="G6" s="13" t="s">
        <v>0</v>
      </c>
      <c r="H6" s="12" t="s">
        <v>381</v>
      </c>
      <c r="I6" s="11">
        <v>2710</v>
      </c>
      <c r="J6" s="10">
        <v>1000</v>
      </c>
      <c r="K6" s="9">
        <v>1710</v>
      </c>
      <c r="L6" s="8">
        <f t="shared" si="0"/>
        <v>0</v>
      </c>
    </row>
    <row r="7" spans="1:12" ht="162" customHeight="1" thickBot="1" x14ac:dyDescent="0.3">
      <c r="A7" s="47"/>
      <c r="B7" s="13" t="s">
        <v>371</v>
      </c>
      <c r="C7" s="12" t="s">
        <v>113</v>
      </c>
      <c r="D7" s="12" t="s">
        <v>24</v>
      </c>
      <c r="E7" s="13" t="s">
        <v>114</v>
      </c>
      <c r="F7" s="22" t="s">
        <v>4</v>
      </c>
      <c r="G7" s="13" t="s">
        <v>8</v>
      </c>
      <c r="H7" s="12" t="s">
        <v>370</v>
      </c>
      <c r="I7" s="11">
        <v>150</v>
      </c>
      <c r="J7" s="10"/>
      <c r="K7" s="9">
        <v>150</v>
      </c>
      <c r="L7" s="8">
        <f t="shared" si="0"/>
        <v>0</v>
      </c>
    </row>
    <row r="8" spans="1:12" ht="162" customHeight="1" thickBot="1" x14ac:dyDescent="0.3">
      <c r="A8" s="47"/>
      <c r="B8" s="13" t="s">
        <v>136</v>
      </c>
      <c r="C8" s="12" t="s">
        <v>6</v>
      </c>
      <c r="D8" s="12" t="s">
        <v>126</v>
      </c>
      <c r="E8" s="23" t="s">
        <v>137</v>
      </c>
      <c r="F8" s="22" t="s">
        <v>122</v>
      </c>
      <c r="G8" s="13" t="s">
        <v>0</v>
      </c>
      <c r="H8" s="12" t="s">
        <v>381</v>
      </c>
      <c r="I8" s="11">
        <v>3000</v>
      </c>
      <c r="J8" s="10"/>
      <c r="K8" s="9">
        <v>3000</v>
      </c>
      <c r="L8" s="8">
        <f t="shared" si="0"/>
        <v>0</v>
      </c>
    </row>
    <row r="9" spans="1:12" ht="162" customHeight="1" thickBot="1" x14ac:dyDescent="0.3">
      <c r="A9" s="47"/>
      <c r="B9" s="13" t="s">
        <v>136</v>
      </c>
      <c r="C9" s="12" t="s">
        <v>118</v>
      </c>
      <c r="D9" s="12" t="s">
        <v>126</v>
      </c>
      <c r="E9" s="23" t="s">
        <v>221</v>
      </c>
      <c r="F9" s="22" t="s">
        <v>122</v>
      </c>
      <c r="G9" s="13" t="s">
        <v>0</v>
      </c>
      <c r="H9" s="12" t="s">
        <v>381</v>
      </c>
      <c r="I9" s="11">
        <v>3000</v>
      </c>
      <c r="J9" s="10"/>
      <c r="K9" s="9">
        <v>3000</v>
      </c>
      <c r="L9" s="8">
        <f t="shared" si="0"/>
        <v>0</v>
      </c>
    </row>
    <row r="10" spans="1:12" ht="162" customHeight="1" thickBot="1" x14ac:dyDescent="0.3">
      <c r="A10" s="47"/>
      <c r="B10" s="13" t="s">
        <v>371</v>
      </c>
      <c r="C10" s="12" t="s">
        <v>113</v>
      </c>
      <c r="D10" s="12" t="s">
        <v>24</v>
      </c>
      <c r="E10" s="13" t="s">
        <v>114</v>
      </c>
      <c r="F10" s="22" t="s">
        <v>4</v>
      </c>
      <c r="G10" s="13" t="s">
        <v>0</v>
      </c>
      <c r="H10" s="12" t="s">
        <v>370</v>
      </c>
      <c r="I10" s="11">
        <v>1338</v>
      </c>
      <c r="J10" s="10"/>
      <c r="K10" s="9">
        <v>1338</v>
      </c>
      <c r="L10" s="8">
        <f t="shared" si="0"/>
        <v>0</v>
      </c>
    </row>
    <row r="11" spans="1:12" ht="162" customHeight="1" thickBot="1" x14ac:dyDescent="0.3">
      <c r="A11" s="48"/>
      <c r="B11" s="13" t="s">
        <v>32</v>
      </c>
      <c r="C11" s="12" t="s">
        <v>31</v>
      </c>
      <c r="D11" s="12" t="s">
        <v>24</v>
      </c>
      <c r="E11" s="13" t="s">
        <v>116</v>
      </c>
      <c r="F11" s="22" t="s">
        <v>9</v>
      </c>
      <c r="G11" s="13" t="s">
        <v>0</v>
      </c>
      <c r="H11" s="12" t="s">
        <v>381</v>
      </c>
      <c r="I11" s="11">
        <v>3000</v>
      </c>
      <c r="J11" s="10"/>
      <c r="K11" s="9">
        <v>3000</v>
      </c>
      <c r="L11" s="8">
        <f t="shared" si="0"/>
        <v>0</v>
      </c>
    </row>
    <row r="12" spans="1:12" ht="162" customHeight="1" thickBot="1" x14ac:dyDescent="0.3">
      <c r="A12" s="46" t="s">
        <v>36</v>
      </c>
      <c r="B12" s="13" t="s">
        <v>99</v>
      </c>
      <c r="C12" s="12" t="s">
        <v>100</v>
      </c>
      <c r="D12" s="12" t="s">
        <v>24</v>
      </c>
      <c r="E12" s="13" t="s">
        <v>343</v>
      </c>
      <c r="F12" s="22" t="s">
        <v>102</v>
      </c>
      <c r="G12" s="13" t="s">
        <v>37</v>
      </c>
      <c r="H12" s="12" t="s">
        <v>370</v>
      </c>
      <c r="I12" s="11">
        <v>660</v>
      </c>
      <c r="J12" s="10"/>
      <c r="K12" s="9">
        <v>660</v>
      </c>
      <c r="L12" s="8">
        <f t="shared" si="0"/>
        <v>0</v>
      </c>
    </row>
    <row r="13" spans="1:12" ht="162" customHeight="1" thickBot="1" x14ac:dyDescent="0.3">
      <c r="A13" s="47"/>
      <c r="B13" s="13" t="s">
        <v>99</v>
      </c>
      <c r="C13" s="12" t="s">
        <v>100</v>
      </c>
      <c r="D13" s="12" t="s">
        <v>24</v>
      </c>
      <c r="E13" s="13" t="s">
        <v>379</v>
      </c>
      <c r="F13" s="22" t="s">
        <v>102</v>
      </c>
      <c r="G13" s="13" t="s">
        <v>37</v>
      </c>
      <c r="H13" s="12" t="s">
        <v>370</v>
      </c>
      <c r="I13" s="11">
        <v>1000</v>
      </c>
      <c r="J13" s="10"/>
      <c r="K13" s="9">
        <v>1000</v>
      </c>
      <c r="L13" s="8">
        <f t="shared" si="0"/>
        <v>0</v>
      </c>
    </row>
    <row r="14" spans="1:12" ht="162" customHeight="1" thickBot="1" x14ac:dyDescent="0.3">
      <c r="A14" s="47"/>
      <c r="B14" s="13" t="s">
        <v>28</v>
      </c>
      <c r="C14" s="12" t="s">
        <v>34</v>
      </c>
      <c r="D14" s="12" t="s">
        <v>24</v>
      </c>
      <c r="E14" s="13" t="s">
        <v>33</v>
      </c>
      <c r="F14" s="22" t="s">
        <v>4</v>
      </c>
      <c r="G14" s="13" t="s">
        <v>0</v>
      </c>
      <c r="H14" s="12" t="s">
        <v>370</v>
      </c>
      <c r="I14" s="11">
        <v>1082</v>
      </c>
      <c r="J14" s="10"/>
      <c r="K14" s="9">
        <v>1082</v>
      </c>
      <c r="L14" s="8">
        <f t="shared" si="0"/>
        <v>0</v>
      </c>
    </row>
    <row r="15" spans="1:12" ht="162" customHeight="1" thickBot="1" x14ac:dyDescent="0.3">
      <c r="A15" s="47"/>
      <c r="B15" s="13" t="s">
        <v>40</v>
      </c>
      <c r="C15" s="12" t="s">
        <v>27</v>
      </c>
      <c r="D15" s="12" t="s">
        <v>24</v>
      </c>
      <c r="E15" s="23" t="s">
        <v>377</v>
      </c>
      <c r="F15" s="22" t="s">
        <v>9</v>
      </c>
      <c r="G15" s="13" t="s">
        <v>0</v>
      </c>
      <c r="H15" s="12" t="s">
        <v>381</v>
      </c>
      <c r="I15" s="11">
        <v>2000</v>
      </c>
      <c r="J15" s="10"/>
      <c r="K15" s="9">
        <v>2000</v>
      </c>
      <c r="L15" s="8">
        <f t="shared" si="0"/>
        <v>0</v>
      </c>
    </row>
    <row r="16" spans="1:12" ht="162" customHeight="1" thickBot="1" x14ac:dyDescent="0.3">
      <c r="A16" s="47"/>
      <c r="B16" s="13" t="s">
        <v>95</v>
      </c>
      <c r="C16" s="12" t="s">
        <v>15</v>
      </c>
      <c r="D16" s="12" t="s">
        <v>24</v>
      </c>
      <c r="E16" s="23" t="s">
        <v>96</v>
      </c>
      <c r="F16" s="22" t="s">
        <v>4</v>
      </c>
      <c r="G16" s="13" t="s">
        <v>0</v>
      </c>
      <c r="H16" s="12" t="s">
        <v>370</v>
      </c>
      <c r="I16" s="11">
        <v>710</v>
      </c>
      <c r="J16" s="10"/>
      <c r="K16" s="9">
        <v>710</v>
      </c>
      <c r="L16" s="8">
        <f t="shared" si="0"/>
        <v>0</v>
      </c>
    </row>
    <row r="17" spans="1:12" ht="162" customHeight="1" thickBot="1" x14ac:dyDescent="0.3">
      <c r="A17" s="47"/>
      <c r="B17" s="24" t="s">
        <v>61</v>
      </c>
      <c r="C17" s="12" t="s">
        <v>31</v>
      </c>
      <c r="D17" s="12" t="s">
        <v>24</v>
      </c>
      <c r="E17" s="13" t="s">
        <v>97</v>
      </c>
      <c r="F17" s="22" t="s">
        <v>4</v>
      </c>
      <c r="G17" s="13" t="s">
        <v>0</v>
      </c>
      <c r="H17" s="12" t="s">
        <v>370</v>
      </c>
      <c r="I17" s="11">
        <v>1069</v>
      </c>
      <c r="J17" s="10"/>
      <c r="K17" s="9">
        <v>1069</v>
      </c>
      <c r="L17" s="8">
        <f t="shared" si="0"/>
        <v>0</v>
      </c>
    </row>
    <row r="18" spans="1:12" ht="162" customHeight="1" thickBot="1" x14ac:dyDescent="0.3">
      <c r="A18" s="47"/>
      <c r="B18" s="24" t="s">
        <v>61</v>
      </c>
      <c r="C18" s="12" t="s">
        <v>31</v>
      </c>
      <c r="D18" s="12" t="s">
        <v>24</v>
      </c>
      <c r="E18" s="13" t="s">
        <v>138</v>
      </c>
      <c r="F18" s="22" t="s">
        <v>4</v>
      </c>
      <c r="G18" s="13" t="s">
        <v>0</v>
      </c>
      <c r="H18" s="12" t="s">
        <v>370</v>
      </c>
      <c r="I18" s="11">
        <v>40</v>
      </c>
      <c r="J18" s="10"/>
      <c r="K18" s="9">
        <v>40</v>
      </c>
      <c r="L18" s="8">
        <f t="shared" si="0"/>
        <v>0</v>
      </c>
    </row>
    <row r="19" spans="1:12" ht="162" customHeight="1" thickBot="1" x14ac:dyDescent="0.3">
      <c r="A19" s="47"/>
      <c r="B19" s="24" t="s">
        <v>40</v>
      </c>
      <c r="C19" s="12" t="s">
        <v>27</v>
      </c>
      <c r="D19" s="12" t="s">
        <v>24</v>
      </c>
      <c r="E19" s="13" t="s">
        <v>377</v>
      </c>
      <c r="F19" s="22" t="s">
        <v>9</v>
      </c>
      <c r="G19" s="13" t="s">
        <v>0</v>
      </c>
      <c r="H19" s="12" t="s">
        <v>381</v>
      </c>
      <c r="I19" s="11">
        <v>1000</v>
      </c>
      <c r="J19" s="10"/>
      <c r="K19" s="9">
        <v>1000</v>
      </c>
      <c r="L19" s="8">
        <f t="shared" si="0"/>
        <v>0</v>
      </c>
    </row>
    <row r="20" spans="1:12" ht="162" customHeight="1" thickBot="1" x14ac:dyDescent="0.3">
      <c r="A20" s="47"/>
      <c r="B20" s="24" t="s">
        <v>284</v>
      </c>
      <c r="C20" s="12" t="s">
        <v>113</v>
      </c>
      <c r="D20" s="22" t="s">
        <v>24</v>
      </c>
      <c r="E20" s="13" t="s">
        <v>114</v>
      </c>
      <c r="F20" s="22" t="s">
        <v>4</v>
      </c>
      <c r="G20" s="13" t="s">
        <v>8</v>
      </c>
      <c r="H20" s="12" t="s">
        <v>370</v>
      </c>
      <c r="I20" s="11">
        <v>150</v>
      </c>
      <c r="J20" s="10"/>
      <c r="K20" s="9">
        <v>150</v>
      </c>
      <c r="L20" s="8">
        <f t="shared" si="0"/>
        <v>0</v>
      </c>
    </row>
    <row r="21" spans="1:12" ht="162" customHeight="1" thickBot="1" x14ac:dyDescent="0.3">
      <c r="A21" s="47"/>
      <c r="B21" s="24" t="s">
        <v>284</v>
      </c>
      <c r="C21" s="12" t="s">
        <v>113</v>
      </c>
      <c r="D21" s="22" t="s">
        <v>24</v>
      </c>
      <c r="E21" s="13" t="s">
        <v>114</v>
      </c>
      <c r="F21" s="22" t="s">
        <v>4</v>
      </c>
      <c r="G21" s="13" t="s">
        <v>0</v>
      </c>
      <c r="H21" s="12" t="s">
        <v>370</v>
      </c>
      <c r="I21" s="11">
        <v>538</v>
      </c>
      <c r="J21" s="10"/>
      <c r="K21" s="9">
        <v>538</v>
      </c>
      <c r="L21" s="8">
        <f t="shared" si="0"/>
        <v>0</v>
      </c>
    </row>
    <row r="22" spans="1:12" ht="162" customHeight="1" thickBot="1" x14ac:dyDescent="0.3">
      <c r="A22" s="47"/>
      <c r="B22" s="24" t="s">
        <v>95</v>
      </c>
      <c r="C22" s="12" t="s">
        <v>15</v>
      </c>
      <c r="D22" s="22" t="s">
        <v>24</v>
      </c>
      <c r="E22" s="13" t="s">
        <v>96</v>
      </c>
      <c r="F22" s="22" t="s">
        <v>4</v>
      </c>
      <c r="G22" s="13" t="s">
        <v>0</v>
      </c>
      <c r="H22" s="12" t="s">
        <v>370</v>
      </c>
      <c r="I22" s="11">
        <v>3000</v>
      </c>
      <c r="J22" s="10"/>
      <c r="K22" s="9">
        <v>3000</v>
      </c>
      <c r="L22" s="8">
        <f t="shared" si="0"/>
        <v>0</v>
      </c>
    </row>
    <row r="23" spans="1:12" ht="162" customHeight="1" thickBot="1" x14ac:dyDescent="0.3">
      <c r="A23" s="47"/>
      <c r="B23" s="24" t="s">
        <v>38</v>
      </c>
      <c r="C23" s="12" t="s">
        <v>27</v>
      </c>
      <c r="D23" s="22" t="s">
        <v>24</v>
      </c>
      <c r="E23" s="13" t="s">
        <v>76</v>
      </c>
      <c r="F23" s="22" t="s">
        <v>4</v>
      </c>
      <c r="G23" s="13" t="s">
        <v>0</v>
      </c>
      <c r="H23" s="12" t="s">
        <v>370</v>
      </c>
      <c r="I23" s="11">
        <v>1540</v>
      </c>
      <c r="J23" s="10">
        <v>1000</v>
      </c>
      <c r="K23" s="9">
        <v>540</v>
      </c>
      <c r="L23" s="8">
        <f t="shared" si="0"/>
        <v>0</v>
      </c>
    </row>
    <row r="24" spans="1:12" ht="162" customHeight="1" thickBot="1" x14ac:dyDescent="0.3">
      <c r="A24" s="48"/>
      <c r="B24" s="24" t="s">
        <v>38</v>
      </c>
      <c r="C24" s="12" t="s">
        <v>27</v>
      </c>
      <c r="D24" s="22" t="s">
        <v>24</v>
      </c>
      <c r="E24" s="13" t="s">
        <v>111</v>
      </c>
      <c r="F24" s="22" t="s">
        <v>4</v>
      </c>
      <c r="G24" s="13" t="s">
        <v>0</v>
      </c>
      <c r="H24" s="12" t="s">
        <v>370</v>
      </c>
      <c r="I24" s="11">
        <v>1096</v>
      </c>
      <c r="J24" s="10"/>
      <c r="K24" s="9">
        <v>1096</v>
      </c>
      <c r="L24" s="8">
        <f t="shared" si="0"/>
        <v>0</v>
      </c>
    </row>
    <row r="25" spans="1:12" ht="162" customHeight="1" thickBot="1" x14ac:dyDescent="0.3">
      <c r="A25" s="46" t="s">
        <v>23</v>
      </c>
      <c r="B25" s="24" t="s">
        <v>12</v>
      </c>
      <c r="C25" s="12" t="s">
        <v>6</v>
      </c>
      <c r="D25" s="22" t="s">
        <v>20</v>
      </c>
      <c r="E25" s="13" t="s">
        <v>22</v>
      </c>
      <c r="F25" s="22" t="s">
        <v>4</v>
      </c>
      <c r="G25" s="13" t="s">
        <v>0</v>
      </c>
      <c r="H25" s="12" t="s">
        <v>370</v>
      </c>
      <c r="I25" s="11">
        <v>4000</v>
      </c>
      <c r="J25" s="10"/>
      <c r="K25" s="9">
        <v>4000</v>
      </c>
      <c r="L25" s="8">
        <f t="shared" si="0"/>
        <v>0</v>
      </c>
    </row>
    <row r="26" spans="1:12" ht="162" customHeight="1" thickBot="1" x14ac:dyDescent="0.3">
      <c r="A26" s="47"/>
      <c r="B26" s="24" t="s">
        <v>21</v>
      </c>
      <c r="C26" s="12" t="s">
        <v>118</v>
      </c>
      <c r="D26" s="12" t="s">
        <v>20</v>
      </c>
      <c r="E26" s="13" t="s">
        <v>222</v>
      </c>
      <c r="F26" s="22" t="s">
        <v>4</v>
      </c>
      <c r="G26" s="13" t="s">
        <v>0</v>
      </c>
      <c r="H26" s="12" t="s">
        <v>370</v>
      </c>
      <c r="I26" s="11">
        <v>1500</v>
      </c>
      <c r="J26" s="10"/>
      <c r="K26" s="9">
        <v>1500</v>
      </c>
      <c r="L26" s="8">
        <f t="shared" si="0"/>
        <v>0</v>
      </c>
    </row>
    <row r="27" spans="1:12" ht="162" customHeight="1" thickBot="1" x14ac:dyDescent="0.3">
      <c r="A27" s="47"/>
      <c r="B27" s="24" t="s">
        <v>21</v>
      </c>
      <c r="C27" s="12" t="s">
        <v>118</v>
      </c>
      <c r="D27" s="12" t="s">
        <v>20</v>
      </c>
      <c r="E27" s="23" t="s">
        <v>222</v>
      </c>
      <c r="F27" s="22" t="s">
        <v>4</v>
      </c>
      <c r="G27" s="13" t="s">
        <v>0</v>
      </c>
      <c r="H27" s="12" t="s">
        <v>370</v>
      </c>
      <c r="I27" s="11">
        <v>1169</v>
      </c>
      <c r="J27" s="10"/>
      <c r="K27" s="9">
        <v>1169</v>
      </c>
      <c r="L27" s="8">
        <f t="shared" si="0"/>
        <v>0</v>
      </c>
    </row>
    <row r="28" spans="1:12" ht="162" customHeight="1" thickBot="1" x14ac:dyDescent="0.3">
      <c r="A28" s="48"/>
      <c r="B28" s="24" t="s">
        <v>21</v>
      </c>
      <c r="C28" s="12" t="s">
        <v>118</v>
      </c>
      <c r="D28" s="12" t="s">
        <v>20</v>
      </c>
      <c r="E28" s="13" t="s">
        <v>119</v>
      </c>
      <c r="F28" s="22" t="s">
        <v>4</v>
      </c>
      <c r="G28" s="13" t="s">
        <v>0</v>
      </c>
      <c r="H28" s="12" t="s">
        <v>370</v>
      </c>
      <c r="I28" s="11">
        <v>1500</v>
      </c>
      <c r="J28" s="10"/>
      <c r="K28" s="9">
        <v>1500</v>
      </c>
      <c r="L28" s="8">
        <f t="shared" si="0"/>
        <v>0</v>
      </c>
    </row>
    <row r="29" spans="1:12" ht="165.75" customHeight="1" thickBot="1" x14ac:dyDescent="0.3">
      <c r="A29" s="46" t="s">
        <v>54</v>
      </c>
      <c r="B29" s="24" t="s">
        <v>104</v>
      </c>
      <c r="C29" s="12" t="s">
        <v>188</v>
      </c>
      <c r="D29" s="12" t="s">
        <v>60</v>
      </c>
      <c r="E29" s="13" t="s">
        <v>189</v>
      </c>
      <c r="F29" s="22" t="s">
        <v>64</v>
      </c>
      <c r="G29" s="13" t="s">
        <v>37</v>
      </c>
      <c r="H29" s="12" t="s">
        <v>370</v>
      </c>
      <c r="I29" s="11">
        <v>58</v>
      </c>
      <c r="J29" s="10"/>
      <c r="K29" s="9">
        <v>58</v>
      </c>
      <c r="L29" s="8">
        <f t="shared" si="0"/>
        <v>0</v>
      </c>
    </row>
    <row r="30" spans="1:12" ht="165.75" customHeight="1" thickBot="1" x14ac:dyDescent="0.3">
      <c r="A30" s="47"/>
      <c r="B30" s="24" t="s">
        <v>104</v>
      </c>
      <c r="C30" s="12" t="s">
        <v>105</v>
      </c>
      <c r="D30" s="12" t="s">
        <v>60</v>
      </c>
      <c r="E30" s="13" t="s">
        <v>139</v>
      </c>
      <c r="F30" s="22" t="s">
        <v>64</v>
      </c>
      <c r="G30" s="13" t="s">
        <v>37</v>
      </c>
      <c r="H30" s="12" t="s">
        <v>370</v>
      </c>
      <c r="I30" s="11">
        <v>41</v>
      </c>
      <c r="J30" s="10"/>
      <c r="K30" s="9">
        <v>41</v>
      </c>
      <c r="L30" s="8">
        <f t="shared" si="0"/>
        <v>0</v>
      </c>
    </row>
    <row r="31" spans="1:12" ht="165.75" customHeight="1" thickBot="1" x14ac:dyDescent="0.3">
      <c r="A31" s="47"/>
      <c r="B31" s="24" t="s">
        <v>104</v>
      </c>
      <c r="C31" s="12" t="s">
        <v>105</v>
      </c>
      <c r="D31" s="12" t="s">
        <v>60</v>
      </c>
      <c r="E31" s="13" t="s">
        <v>140</v>
      </c>
      <c r="F31" s="22" t="s">
        <v>64</v>
      </c>
      <c r="G31" s="13" t="s">
        <v>37</v>
      </c>
      <c r="H31" s="12" t="s">
        <v>370</v>
      </c>
      <c r="I31" s="11">
        <v>10</v>
      </c>
      <c r="J31" s="10"/>
      <c r="K31" s="9">
        <v>10</v>
      </c>
      <c r="L31" s="8">
        <f t="shared" si="0"/>
        <v>0</v>
      </c>
    </row>
    <row r="32" spans="1:12" ht="165.75" customHeight="1" thickBot="1" x14ac:dyDescent="0.3">
      <c r="A32" s="47"/>
      <c r="B32" s="24" t="s">
        <v>104</v>
      </c>
      <c r="C32" s="12" t="s">
        <v>105</v>
      </c>
      <c r="D32" s="12" t="s">
        <v>60</v>
      </c>
      <c r="E32" s="13" t="s">
        <v>142</v>
      </c>
      <c r="F32" s="22" t="s">
        <v>64</v>
      </c>
      <c r="G32" s="13" t="s">
        <v>37</v>
      </c>
      <c r="H32" s="12" t="s">
        <v>370</v>
      </c>
      <c r="I32" s="11">
        <v>85</v>
      </c>
      <c r="J32" s="10">
        <v>85</v>
      </c>
      <c r="K32" s="9"/>
      <c r="L32" s="8">
        <f t="shared" si="0"/>
        <v>0</v>
      </c>
    </row>
    <row r="33" spans="1:12" ht="165.75" customHeight="1" thickBot="1" x14ac:dyDescent="0.3">
      <c r="A33" s="47"/>
      <c r="B33" s="24" t="s">
        <v>104</v>
      </c>
      <c r="C33" s="12" t="s">
        <v>105</v>
      </c>
      <c r="D33" s="12" t="s">
        <v>60</v>
      </c>
      <c r="E33" s="13" t="s">
        <v>106</v>
      </c>
      <c r="F33" s="22" t="s">
        <v>64</v>
      </c>
      <c r="G33" s="13" t="s">
        <v>37</v>
      </c>
      <c r="H33" s="12" t="s">
        <v>370</v>
      </c>
      <c r="I33" s="11">
        <v>120</v>
      </c>
      <c r="J33" s="10">
        <v>120</v>
      </c>
      <c r="K33" s="9"/>
      <c r="L33" s="8">
        <f t="shared" si="0"/>
        <v>0</v>
      </c>
    </row>
    <row r="34" spans="1:12" ht="165.75" customHeight="1" thickBot="1" x14ac:dyDescent="0.3">
      <c r="A34" s="47"/>
      <c r="B34" s="24" t="s">
        <v>104</v>
      </c>
      <c r="C34" s="12" t="s">
        <v>105</v>
      </c>
      <c r="D34" s="12" t="s">
        <v>60</v>
      </c>
      <c r="E34" s="13" t="s">
        <v>107</v>
      </c>
      <c r="F34" s="22" t="s">
        <v>64</v>
      </c>
      <c r="G34" s="13" t="s">
        <v>37</v>
      </c>
      <c r="H34" s="12" t="s">
        <v>370</v>
      </c>
      <c r="I34" s="11">
        <v>10</v>
      </c>
      <c r="J34" s="10"/>
      <c r="K34" s="9">
        <v>10</v>
      </c>
      <c r="L34" s="8">
        <f t="shared" si="0"/>
        <v>0</v>
      </c>
    </row>
    <row r="35" spans="1:12" ht="165.75" customHeight="1" thickBot="1" x14ac:dyDescent="0.3">
      <c r="A35" s="47"/>
      <c r="B35" s="24" t="s">
        <v>104</v>
      </c>
      <c r="C35" s="12" t="s">
        <v>105</v>
      </c>
      <c r="D35" s="12" t="s">
        <v>60</v>
      </c>
      <c r="E35" s="13" t="s">
        <v>382</v>
      </c>
      <c r="F35" s="22" t="s">
        <v>64</v>
      </c>
      <c r="G35" s="13" t="s">
        <v>37</v>
      </c>
      <c r="H35" s="12" t="s">
        <v>370</v>
      </c>
      <c r="I35" s="11">
        <v>2</v>
      </c>
      <c r="J35" s="10"/>
      <c r="K35" s="9">
        <v>2</v>
      </c>
      <c r="L35" s="8">
        <f t="shared" si="0"/>
        <v>0</v>
      </c>
    </row>
    <row r="36" spans="1:12" ht="165.75" customHeight="1" thickBot="1" x14ac:dyDescent="0.3">
      <c r="A36" s="48"/>
      <c r="B36" s="24" t="s">
        <v>104</v>
      </c>
      <c r="C36" s="12" t="s">
        <v>105</v>
      </c>
      <c r="D36" s="12" t="s">
        <v>60</v>
      </c>
      <c r="E36" s="13" t="s">
        <v>383</v>
      </c>
      <c r="F36" s="22" t="s">
        <v>64</v>
      </c>
      <c r="G36" s="13" t="s">
        <v>37</v>
      </c>
      <c r="H36" s="12" t="s">
        <v>370</v>
      </c>
      <c r="I36" s="11">
        <v>40</v>
      </c>
      <c r="J36" s="10"/>
      <c r="K36" s="9">
        <v>40</v>
      </c>
      <c r="L36" s="8">
        <f t="shared" si="0"/>
        <v>0</v>
      </c>
    </row>
    <row r="37" spans="1:12" ht="165.75" customHeight="1" thickBot="1" x14ac:dyDescent="0.3">
      <c r="A37" s="46" t="s">
        <v>19</v>
      </c>
      <c r="B37" s="24" t="s">
        <v>18</v>
      </c>
      <c r="C37" s="12" t="s">
        <v>17</v>
      </c>
      <c r="D37" s="12" t="s">
        <v>14</v>
      </c>
      <c r="E37" s="13" t="s">
        <v>16</v>
      </c>
      <c r="F37" s="22" t="s">
        <v>4</v>
      </c>
      <c r="G37" s="13" t="s">
        <v>0</v>
      </c>
      <c r="H37" s="12" t="s">
        <v>370</v>
      </c>
      <c r="I37" s="11">
        <v>2519</v>
      </c>
      <c r="J37" s="10">
        <v>1000</v>
      </c>
      <c r="K37" s="9">
        <v>1519</v>
      </c>
      <c r="L37" s="8">
        <f t="shared" si="0"/>
        <v>0</v>
      </c>
    </row>
    <row r="38" spans="1:12" ht="165.75" customHeight="1" thickBot="1" x14ac:dyDescent="0.3">
      <c r="A38" s="47"/>
      <c r="B38" s="24" t="s">
        <v>12</v>
      </c>
      <c r="C38" s="12" t="s">
        <v>118</v>
      </c>
      <c r="D38" s="12" t="s">
        <v>123</v>
      </c>
      <c r="E38" s="13" t="s">
        <v>124</v>
      </c>
      <c r="F38" s="22" t="s">
        <v>4</v>
      </c>
      <c r="G38" s="13" t="s">
        <v>8</v>
      </c>
      <c r="H38" s="12" t="s">
        <v>370</v>
      </c>
      <c r="I38" s="11">
        <v>1902</v>
      </c>
      <c r="J38" s="10"/>
      <c r="K38" s="9">
        <v>1902</v>
      </c>
      <c r="L38" s="8">
        <f t="shared" si="0"/>
        <v>0</v>
      </c>
    </row>
    <row r="39" spans="1:12" ht="165.75" customHeight="1" thickBot="1" x14ac:dyDescent="0.3">
      <c r="A39" s="47"/>
      <c r="B39" s="24" t="s">
        <v>12</v>
      </c>
      <c r="C39" s="12" t="s">
        <v>118</v>
      </c>
      <c r="D39" s="12" t="s">
        <v>123</v>
      </c>
      <c r="E39" s="13" t="s">
        <v>124</v>
      </c>
      <c r="F39" s="22" t="s">
        <v>9</v>
      </c>
      <c r="G39" s="13" t="s">
        <v>0</v>
      </c>
      <c r="H39" s="12" t="s">
        <v>381</v>
      </c>
      <c r="I39" s="11">
        <v>1500</v>
      </c>
      <c r="J39" s="10">
        <v>1000</v>
      </c>
      <c r="K39" s="9">
        <v>500</v>
      </c>
      <c r="L39" s="8">
        <f t="shared" si="0"/>
        <v>0</v>
      </c>
    </row>
    <row r="40" spans="1:12" ht="165.75" customHeight="1" thickBot="1" x14ac:dyDescent="0.3">
      <c r="A40" s="47"/>
      <c r="B40" s="24" t="s">
        <v>7</v>
      </c>
      <c r="C40" s="12" t="s">
        <v>6</v>
      </c>
      <c r="D40" s="12" t="s">
        <v>1</v>
      </c>
      <c r="E40" s="23" t="s">
        <v>5</v>
      </c>
      <c r="F40" s="22" t="s">
        <v>4</v>
      </c>
      <c r="G40" s="13" t="s">
        <v>0</v>
      </c>
      <c r="H40" s="12" t="s">
        <v>370</v>
      </c>
      <c r="I40" s="11">
        <v>2575</v>
      </c>
      <c r="J40" s="10"/>
      <c r="K40" s="9">
        <v>2575</v>
      </c>
      <c r="L40" s="8">
        <f t="shared" si="0"/>
        <v>0</v>
      </c>
    </row>
    <row r="41" spans="1:12" ht="165.75" customHeight="1" thickBot="1" x14ac:dyDescent="0.3">
      <c r="A41" s="47"/>
      <c r="B41" s="24" t="s">
        <v>12</v>
      </c>
      <c r="C41" s="12" t="s">
        <v>3</v>
      </c>
      <c r="D41" s="12" t="s">
        <v>11</v>
      </c>
      <c r="E41" s="13" t="s">
        <v>10</v>
      </c>
      <c r="F41" s="22" t="s">
        <v>4</v>
      </c>
      <c r="G41" s="13" t="s">
        <v>0</v>
      </c>
      <c r="H41" s="12" t="s">
        <v>370</v>
      </c>
      <c r="I41" s="11">
        <v>10000</v>
      </c>
      <c r="J41" s="10">
        <v>2000</v>
      </c>
      <c r="K41" s="9">
        <v>8000</v>
      </c>
      <c r="L41" s="8">
        <f t="shared" si="0"/>
        <v>0</v>
      </c>
    </row>
    <row r="42" spans="1:12" ht="165.75" customHeight="1" thickBot="1" x14ac:dyDescent="0.3">
      <c r="A42" s="47"/>
      <c r="B42" s="24" t="s">
        <v>7</v>
      </c>
      <c r="C42" s="12" t="s">
        <v>6</v>
      </c>
      <c r="D42" s="12" t="s">
        <v>1</v>
      </c>
      <c r="E42" s="13" t="s">
        <v>5</v>
      </c>
      <c r="F42" s="22" t="s">
        <v>4</v>
      </c>
      <c r="G42" s="13" t="s">
        <v>0</v>
      </c>
      <c r="H42" s="12" t="s">
        <v>370</v>
      </c>
      <c r="I42" s="11">
        <v>3000</v>
      </c>
      <c r="J42" s="10">
        <v>1000</v>
      </c>
      <c r="K42" s="9">
        <v>2000</v>
      </c>
      <c r="L42" s="8">
        <f t="shared" si="0"/>
        <v>0</v>
      </c>
    </row>
    <row r="43" spans="1:12" ht="165.75" customHeight="1" thickBot="1" x14ac:dyDescent="0.3">
      <c r="A43" s="48"/>
      <c r="B43" s="24" t="s">
        <v>194</v>
      </c>
      <c r="C43" s="12" t="s">
        <v>118</v>
      </c>
      <c r="D43" s="12" t="s">
        <v>1</v>
      </c>
      <c r="E43" s="13" t="s">
        <v>216</v>
      </c>
      <c r="F43" s="22" t="s">
        <v>122</v>
      </c>
      <c r="G43" s="13" t="s">
        <v>0</v>
      </c>
      <c r="H43" s="12" t="s">
        <v>370</v>
      </c>
      <c r="I43" s="11">
        <v>2000</v>
      </c>
      <c r="J43" s="10">
        <v>1000</v>
      </c>
      <c r="K43" s="9">
        <v>1000</v>
      </c>
      <c r="L43" s="8">
        <f t="shared" si="0"/>
        <v>0</v>
      </c>
    </row>
  </sheetData>
  <autoFilter ref="A2:L43"/>
  <dataConsolidate/>
  <mergeCells count="6">
    <mergeCell ref="A37:A43"/>
    <mergeCell ref="A1:L1"/>
    <mergeCell ref="A3:A11"/>
    <mergeCell ref="A12:A24"/>
    <mergeCell ref="A25:A28"/>
    <mergeCell ref="A29:A36"/>
  </mergeCells>
  <conditionalFormatting sqref="I2:I38 K3:L38">
    <cfRule type="cellIs" dxfId="53" priority="3" operator="lessThan">
      <formula>0</formula>
    </cfRule>
  </conditionalFormatting>
  <conditionalFormatting sqref="L2">
    <cfRule type="cellIs" dxfId="52" priority="2" operator="lessThan">
      <formula>0</formula>
    </cfRule>
  </conditionalFormatting>
  <conditionalFormatting sqref="I39:I43 K39:L43">
    <cfRule type="cellIs" dxfId="51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8"/>
  <sheetViews>
    <sheetView showGridLines="0" view="pageBreakPreview" topLeftCell="A39" zoomScale="20" zoomScaleNormal="15" zoomScaleSheetLayoutView="20" workbookViewId="0">
      <selection activeCell="K49" sqref="K49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389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390</v>
      </c>
      <c r="I3" s="11">
        <v>3000</v>
      </c>
      <c r="J3" s="10"/>
      <c r="K3" s="9">
        <v>3000</v>
      </c>
      <c r="L3" s="8">
        <f t="shared" ref="L3:L48" si="0">K3+J3-I3</f>
        <v>0</v>
      </c>
    </row>
    <row r="4" spans="1:12" ht="162" customHeight="1" thickBot="1" x14ac:dyDescent="0.3">
      <c r="A4" s="47"/>
      <c r="B4" s="13" t="s">
        <v>136</v>
      </c>
      <c r="C4" s="12" t="s">
        <v>235</v>
      </c>
      <c r="D4" s="12" t="s">
        <v>126</v>
      </c>
      <c r="E4" s="13" t="s">
        <v>246</v>
      </c>
      <c r="F4" s="22" t="s">
        <v>122</v>
      </c>
      <c r="G4" s="13" t="s">
        <v>0</v>
      </c>
      <c r="H4" s="12" t="s">
        <v>381</v>
      </c>
      <c r="I4" s="11">
        <v>1400</v>
      </c>
      <c r="J4" s="10"/>
      <c r="K4" s="9">
        <v>1400</v>
      </c>
      <c r="L4" s="8">
        <f t="shared" si="0"/>
        <v>0</v>
      </c>
    </row>
    <row r="5" spans="1:12" ht="162" customHeight="1" thickBot="1" x14ac:dyDescent="0.3">
      <c r="A5" s="47"/>
      <c r="B5" s="13" t="s">
        <v>136</v>
      </c>
      <c r="C5" s="12" t="s">
        <v>118</v>
      </c>
      <c r="D5" s="12" t="s">
        <v>126</v>
      </c>
      <c r="E5" s="13" t="s">
        <v>221</v>
      </c>
      <c r="F5" s="22" t="s">
        <v>122</v>
      </c>
      <c r="G5" s="13" t="s">
        <v>0</v>
      </c>
      <c r="H5" s="12" t="s">
        <v>390</v>
      </c>
      <c r="I5" s="11">
        <v>2000</v>
      </c>
      <c r="J5" s="10"/>
      <c r="K5" s="9">
        <v>2000</v>
      </c>
      <c r="L5" s="8">
        <f t="shared" si="0"/>
        <v>0</v>
      </c>
    </row>
    <row r="6" spans="1:12" ht="162" customHeight="1" thickBot="1" x14ac:dyDescent="0.3">
      <c r="A6" s="47"/>
      <c r="B6" s="13" t="s">
        <v>136</v>
      </c>
      <c r="C6" s="12" t="s">
        <v>3</v>
      </c>
      <c r="D6" s="12" t="s">
        <v>126</v>
      </c>
      <c r="E6" s="13" t="s">
        <v>153</v>
      </c>
      <c r="F6" s="22" t="s">
        <v>122</v>
      </c>
      <c r="G6" s="13" t="s">
        <v>0</v>
      </c>
      <c r="H6" s="12" t="s">
        <v>381</v>
      </c>
      <c r="I6" s="11">
        <v>3000</v>
      </c>
      <c r="J6" s="10">
        <v>1000</v>
      </c>
      <c r="K6" s="9">
        <v>2000</v>
      </c>
      <c r="L6" s="8">
        <f t="shared" si="0"/>
        <v>0</v>
      </c>
    </row>
    <row r="7" spans="1:12" ht="162" customHeight="1" thickBot="1" x14ac:dyDescent="0.3">
      <c r="A7" s="47"/>
      <c r="B7" s="13" t="s">
        <v>136</v>
      </c>
      <c r="C7" s="12" t="s">
        <v>3</v>
      </c>
      <c r="D7" s="12" t="s">
        <v>126</v>
      </c>
      <c r="E7" s="13" t="s">
        <v>153</v>
      </c>
      <c r="F7" s="22" t="s">
        <v>122</v>
      </c>
      <c r="G7" s="13" t="s">
        <v>0</v>
      </c>
      <c r="H7" s="12" t="s">
        <v>390</v>
      </c>
      <c r="I7" s="11">
        <v>3000</v>
      </c>
      <c r="J7" s="10"/>
      <c r="K7" s="9">
        <v>3000</v>
      </c>
      <c r="L7" s="8">
        <f t="shared" si="0"/>
        <v>0</v>
      </c>
    </row>
    <row r="8" spans="1:12" ht="162" customHeight="1" thickBot="1" x14ac:dyDescent="0.3">
      <c r="A8" s="47"/>
      <c r="B8" s="13" t="s">
        <v>325</v>
      </c>
      <c r="C8" s="12" t="s">
        <v>34</v>
      </c>
      <c r="D8" s="12" t="s">
        <v>24</v>
      </c>
      <c r="E8" s="13" t="s">
        <v>33</v>
      </c>
      <c r="F8" s="22" t="s">
        <v>4</v>
      </c>
      <c r="G8" s="13" t="s">
        <v>0</v>
      </c>
      <c r="H8" s="12" t="s">
        <v>381</v>
      </c>
      <c r="I8" s="11">
        <v>3000</v>
      </c>
      <c r="J8" s="10">
        <v>1000</v>
      </c>
      <c r="K8" s="9">
        <v>2000</v>
      </c>
      <c r="L8" s="8">
        <f t="shared" si="0"/>
        <v>0</v>
      </c>
    </row>
    <row r="9" spans="1:12" ht="162" customHeight="1" thickBot="1" x14ac:dyDescent="0.3">
      <c r="A9" s="47"/>
      <c r="B9" s="13" t="s">
        <v>95</v>
      </c>
      <c r="C9" s="12" t="s">
        <v>15</v>
      </c>
      <c r="D9" s="12" t="s">
        <v>24</v>
      </c>
      <c r="E9" s="13" t="s">
        <v>96</v>
      </c>
      <c r="F9" s="22" t="s">
        <v>4</v>
      </c>
      <c r="G9" s="13" t="s">
        <v>0</v>
      </c>
      <c r="H9" s="12" t="s">
        <v>381</v>
      </c>
      <c r="I9" s="11">
        <v>5000</v>
      </c>
      <c r="J9" s="10">
        <v>2000</v>
      </c>
      <c r="K9" s="9">
        <v>3000</v>
      </c>
      <c r="L9" s="8">
        <f t="shared" si="0"/>
        <v>0</v>
      </c>
    </row>
    <row r="10" spans="1:12" ht="162" customHeight="1" thickBot="1" x14ac:dyDescent="0.3">
      <c r="A10" s="47"/>
      <c r="B10" s="13" t="s">
        <v>77</v>
      </c>
      <c r="C10" s="12" t="s">
        <v>27</v>
      </c>
      <c r="D10" s="12" t="s">
        <v>24</v>
      </c>
      <c r="E10" s="13" t="s">
        <v>377</v>
      </c>
      <c r="F10" s="22" t="s">
        <v>9</v>
      </c>
      <c r="G10" s="13" t="s">
        <v>0</v>
      </c>
      <c r="H10" s="12" t="s">
        <v>390</v>
      </c>
      <c r="I10" s="11">
        <v>2000</v>
      </c>
      <c r="J10" s="10">
        <v>1000</v>
      </c>
      <c r="K10" s="9">
        <v>1000</v>
      </c>
      <c r="L10" s="8">
        <f t="shared" si="0"/>
        <v>0</v>
      </c>
    </row>
    <row r="11" spans="1:12" ht="162" customHeight="1" thickBot="1" x14ac:dyDescent="0.3">
      <c r="A11" s="47"/>
      <c r="B11" s="13" t="s">
        <v>77</v>
      </c>
      <c r="C11" s="12" t="s">
        <v>27</v>
      </c>
      <c r="D11" s="12" t="s">
        <v>24</v>
      </c>
      <c r="E11" s="13" t="s">
        <v>111</v>
      </c>
      <c r="F11" s="22" t="s">
        <v>4</v>
      </c>
      <c r="G11" s="13" t="s">
        <v>0</v>
      </c>
      <c r="H11" s="12" t="s">
        <v>381</v>
      </c>
      <c r="I11" s="11">
        <v>1530</v>
      </c>
      <c r="J11" s="10">
        <v>1530</v>
      </c>
      <c r="K11" s="9"/>
      <c r="L11" s="8">
        <f t="shared" si="0"/>
        <v>0</v>
      </c>
    </row>
    <row r="12" spans="1:12" ht="162" customHeight="1" thickBot="1" x14ac:dyDescent="0.3">
      <c r="A12" s="47"/>
      <c r="B12" s="13" t="s">
        <v>371</v>
      </c>
      <c r="C12" s="12" t="s">
        <v>113</v>
      </c>
      <c r="D12" s="12" t="s">
        <v>24</v>
      </c>
      <c r="E12" s="13" t="s">
        <v>114</v>
      </c>
      <c r="F12" s="22" t="s">
        <v>4</v>
      </c>
      <c r="G12" s="13" t="s">
        <v>0</v>
      </c>
      <c r="H12" s="12" t="s">
        <v>381</v>
      </c>
      <c r="I12" s="11">
        <v>3000</v>
      </c>
      <c r="J12" s="10">
        <v>2000</v>
      </c>
      <c r="K12" s="9">
        <v>1000</v>
      </c>
      <c r="L12" s="8">
        <f t="shared" si="0"/>
        <v>0</v>
      </c>
    </row>
    <row r="13" spans="1:12" ht="162" customHeight="1" thickBot="1" x14ac:dyDescent="0.3">
      <c r="A13" s="47"/>
      <c r="B13" s="13" t="s">
        <v>32</v>
      </c>
      <c r="C13" s="12" t="s">
        <v>31</v>
      </c>
      <c r="D13" s="12" t="s">
        <v>24</v>
      </c>
      <c r="E13" s="13" t="s">
        <v>97</v>
      </c>
      <c r="F13" s="22" t="s">
        <v>4</v>
      </c>
      <c r="G13" s="13" t="s">
        <v>0</v>
      </c>
      <c r="H13" s="12" t="s">
        <v>381</v>
      </c>
      <c r="I13" s="11">
        <v>1000</v>
      </c>
      <c r="J13" s="10">
        <v>500</v>
      </c>
      <c r="K13" s="9">
        <v>500</v>
      </c>
      <c r="L13" s="8">
        <f t="shared" si="0"/>
        <v>0</v>
      </c>
    </row>
    <row r="14" spans="1:12" ht="162" customHeight="1" thickBot="1" x14ac:dyDescent="0.3">
      <c r="A14" s="47"/>
      <c r="B14" s="13" t="s">
        <v>32</v>
      </c>
      <c r="C14" s="12" t="s">
        <v>31</v>
      </c>
      <c r="D14" s="12" t="s">
        <v>24</v>
      </c>
      <c r="E14" s="13" t="s">
        <v>297</v>
      </c>
      <c r="F14" s="22" t="s">
        <v>9</v>
      </c>
      <c r="G14" s="13" t="s">
        <v>0</v>
      </c>
      <c r="H14" s="12" t="s">
        <v>390</v>
      </c>
      <c r="I14" s="11">
        <v>1900</v>
      </c>
      <c r="J14" s="10"/>
      <c r="K14" s="9">
        <v>1900</v>
      </c>
      <c r="L14" s="8">
        <f t="shared" si="0"/>
        <v>0</v>
      </c>
    </row>
    <row r="15" spans="1:12" ht="162" customHeight="1" thickBot="1" x14ac:dyDescent="0.3">
      <c r="A15" s="47"/>
      <c r="B15" s="13" t="s">
        <v>32</v>
      </c>
      <c r="C15" s="12" t="s">
        <v>31</v>
      </c>
      <c r="D15" s="12" t="s">
        <v>24</v>
      </c>
      <c r="E15" s="13" t="s">
        <v>71</v>
      </c>
      <c r="F15" s="22" t="s">
        <v>4</v>
      </c>
      <c r="G15" s="13" t="s">
        <v>0</v>
      </c>
      <c r="H15" s="12" t="s">
        <v>381</v>
      </c>
      <c r="I15" s="11">
        <v>2000</v>
      </c>
      <c r="J15" s="10"/>
      <c r="K15" s="9">
        <v>2000</v>
      </c>
      <c r="L15" s="8">
        <f t="shared" si="0"/>
        <v>0</v>
      </c>
    </row>
    <row r="16" spans="1:12" ht="162" customHeight="1" thickBot="1" x14ac:dyDescent="0.3">
      <c r="A16" s="47"/>
      <c r="B16" s="13" t="s">
        <v>32</v>
      </c>
      <c r="C16" s="12" t="s">
        <v>31</v>
      </c>
      <c r="D16" s="12" t="s">
        <v>24</v>
      </c>
      <c r="E16" s="13" t="s">
        <v>78</v>
      </c>
      <c r="F16" s="22" t="s">
        <v>4</v>
      </c>
      <c r="G16" s="13" t="s">
        <v>0</v>
      </c>
      <c r="H16" s="12" t="s">
        <v>381</v>
      </c>
      <c r="I16" s="11">
        <v>2000</v>
      </c>
      <c r="J16" s="10">
        <v>1000</v>
      </c>
      <c r="K16" s="9">
        <v>1000</v>
      </c>
      <c r="L16" s="8">
        <f t="shared" si="0"/>
        <v>0</v>
      </c>
    </row>
    <row r="17" spans="1:12" ht="162" customHeight="1" thickBot="1" x14ac:dyDescent="0.3">
      <c r="A17" s="47"/>
      <c r="B17" s="24" t="s">
        <v>325</v>
      </c>
      <c r="C17" s="12" t="s">
        <v>155</v>
      </c>
      <c r="D17" s="12" t="s">
        <v>24</v>
      </c>
      <c r="E17" s="13" t="s">
        <v>156</v>
      </c>
      <c r="F17" s="22" t="s">
        <v>4</v>
      </c>
      <c r="G17" s="13" t="s">
        <v>0</v>
      </c>
      <c r="H17" s="12" t="s">
        <v>381</v>
      </c>
      <c r="I17" s="11">
        <v>1000</v>
      </c>
      <c r="J17" s="10">
        <v>500</v>
      </c>
      <c r="K17" s="9">
        <v>500</v>
      </c>
      <c r="L17" s="8">
        <f t="shared" si="0"/>
        <v>0</v>
      </c>
    </row>
    <row r="18" spans="1:12" ht="162" customHeight="1" thickBot="1" x14ac:dyDescent="0.3">
      <c r="A18" s="48"/>
      <c r="B18" s="24" t="s">
        <v>325</v>
      </c>
      <c r="C18" s="12" t="s">
        <v>155</v>
      </c>
      <c r="D18" s="12" t="s">
        <v>24</v>
      </c>
      <c r="E18" s="13" t="s">
        <v>156</v>
      </c>
      <c r="F18" s="22" t="s">
        <v>4</v>
      </c>
      <c r="G18" s="13" t="s">
        <v>0</v>
      </c>
      <c r="H18" s="12" t="s">
        <v>381</v>
      </c>
      <c r="I18" s="11">
        <v>1500</v>
      </c>
      <c r="J18" s="10"/>
      <c r="K18" s="9">
        <v>1500</v>
      </c>
      <c r="L18" s="8">
        <f t="shared" si="0"/>
        <v>0</v>
      </c>
    </row>
    <row r="19" spans="1:12" ht="162" customHeight="1" thickBot="1" x14ac:dyDescent="0.3">
      <c r="A19" s="46" t="s">
        <v>36</v>
      </c>
      <c r="B19" s="24" t="s">
        <v>99</v>
      </c>
      <c r="C19" s="12" t="s">
        <v>100</v>
      </c>
      <c r="D19" s="12" t="s">
        <v>24</v>
      </c>
      <c r="E19" s="13" t="s">
        <v>388</v>
      </c>
      <c r="F19" s="22" t="s">
        <v>102</v>
      </c>
      <c r="G19" s="13" t="s">
        <v>37</v>
      </c>
      <c r="H19" s="12" t="s">
        <v>381</v>
      </c>
      <c r="I19" s="11">
        <v>792</v>
      </c>
      <c r="J19" s="10"/>
      <c r="K19" s="9">
        <v>792</v>
      </c>
      <c r="L19" s="8">
        <f t="shared" si="0"/>
        <v>0</v>
      </c>
    </row>
    <row r="20" spans="1:12" ht="162" customHeight="1" thickBot="1" x14ac:dyDescent="0.3">
      <c r="A20" s="47"/>
      <c r="B20" s="24" t="s">
        <v>99</v>
      </c>
      <c r="C20" s="12" t="s">
        <v>100</v>
      </c>
      <c r="D20" s="22" t="s">
        <v>24</v>
      </c>
      <c r="E20" s="13" t="s">
        <v>379</v>
      </c>
      <c r="F20" s="22" t="s">
        <v>102</v>
      </c>
      <c r="G20" s="13" t="s">
        <v>37</v>
      </c>
      <c r="H20" s="12" t="s">
        <v>370</v>
      </c>
      <c r="I20" s="11">
        <v>500</v>
      </c>
      <c r="J20" s="10"/>
      <c r="K20" s="9">
        <v>500</v>
      </c>
      <c r="L20" s="8">
        <f t="shared" si="0"/>
        <v>0</v>
      </c>
    </row>
    <row r="21" spans="1:12" ht="162" customHeight="1" thickBot="1" x14ac:dyDescent="0.3">
      <c r="A21" s="47"/>
      <c r="B21" s="24" t="s">
        <v>35</v>
      </c>
      <c r="C21" s="12" t="s">
        <v>155</v>
      </c>
      <c r="D21" s="22" t="s">
        <v>24</v>
      </c>
      <c r="E21" s="13" t="s">
        <v>156</v>
      </c>
      <c r="F21" s="22" t="s">
        <v>4</v>
      </c>
      <c r="G21" s="13" t="s">
        <v>0</v>
      </c>
      <c r="H21" s="12" t="s">
        <v>381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62" customHeight="1" thickBot="1" x14ac:dyDescent="0.3">
      <c r="A22" s="47"/>
      <c r="B22" s="24" t="s">
        <v>28</v>
      </c>
      <c r="C22" s="12" t="s">
        <v>34</v>
      </c>
      <c r="D22" s="22" t="s">
        <v>24</v>
      </c>
      <c r="E22" s="13" t="s">
        <v>33</v>
      </c>
      <c r="F22" s="22" t="s">
        <v>4</v>
      </c>
      <c r="G22" s="13" t="s">
        <v>0</v>
      </c>
      <c r="H22" s="12" t="s">
        <v>381</v>
      </c>
      <c r="I22" s="11">
        <v>2500</v>
      </c>
      <c r="J22" s="10">
        <v>1000</v>
      </c>
      <c r="K22" s="9">
        <v>1500</v>
      </c>
      <c r="L22" s="8">
        <f t="shared" si="0"/>
        <v>0</v>
      </c>
    </row>
    <row r="23" spans="1:12" ht="162" customHeight="1" thickBot="1" x14ac:dyDescent="0.3">
      <c r="A23" s="47"/>
      <c r="B23" s="24" t="s">
        <v>61</v>
      </c>
      <c r="C23" s="12" t="s">
        <v>31</v>
      </c>
      <c r="D23" s="22" t="s">
        <v>24</v>
      </c>
      <c r="E23" s="13" t="s">
        <v>97</v>
      </c>
      <c r="F23" s="22" t="s">
        <v>4</v>
      </c>
      <c r="G23" s="13" t="s">
        <v>0</v>
      </c>
      <c r="H23" s="12" t="s">
        <v>381</v>
      </c>
      <c r="I23" s="11">
        <v>840</v>
      </c>
      <c r="J23" s="10"/>
      <c r="K23" s="9">
        <v>840</v>
      </c>
      <c r="L23" s="8">
        <f t="shared" si="0"/>
        <v>0</v>
      </c>
    </row>
    <row r="24" spans="1:12" ht="162" customHeight="1" thickBot="1" x14ac:dyDescent="0.3">
      <c r="A24" s="47"/>
      <c r="B24" s="24" t="s">
        <v>61</v>
      </c>
      <c r="C24" s="12" t="s">
        <v>31</v>
      </c>
      <c r="D24" s="22" t="s">
        <v>24</v>
      </c>
      <c r="E24" s="13" t="s">
        <v>97</v>
      </c>
      <c r="F24" s="22" t="s">
        <v>4</v>
      </c>
      <c r="G24" s="13" t="s">
        <v>0</v>
      </c>
      <c r="H24" s="12" t="s">
        <v>381</v>
      </c>
      <c r="I24" s="11">
        <v>1000</v>
      </c>
      <c r="J24" s="10"/>
      <c r="K24" s="9">
        <v>1000</v>
      </c>
      <c r="L24" s="8">
        <f t="shared" si="0"/>
        <v>0</v>
      </c>
    </row>
    <row r="25" spans="1:12" ht="162" customHeight="1" thickBot="1" x14ac:dyDescent="0.3">
      <c r="A25" s="47"/>
      <c r="B25" s="24" t="s">
        <v>61</v>
      </c>
      <c r="C25" s="12" t="s">
        <v>31</v>
      </c>
      <c r="D25" s="22" t="s">
        <v>24</v>
      </c>
      <c r="E25" s="13" t="s">
        <v>71</v>
      </c>
      <c r="F25" s="22" t="s">
        <v>4</v>
      </c>
      <c r="G25" s="13" t="s">
        <v>0</v>
      </c>
      <c r="H25" s="12" t="s">
        <v>381</v>
      </c>
      <c r="I25" s="11">
        <v>1500</v>
      </c>
      <c r="J25" s="10"/>
      <c r="K25" s="9">
        <v>1500</v>
      </c>
      <c r="L25" s="8">
        <f t="shared" si="0"/>
        <v>0</v>
      </c>
    </row>
    <row r="26" spans="1:12" ht="162" customHeight="1" thickBot="1" x14ac:dyDescent="0.3">
      <c r="A26" s="47"/>
      <c r="B26" s="24" t="s">
        <v>32</v>
      </c>
      <c r="C26" s="12" t="s">
        <v>31</v>
      </c>
      <c r="D26" s="12" t="s">
        <v>24</v>
      </c>
      <c r="E26" s="13" t="s">
        <v>297</v>
      </c>
      <c r="F26" s="22" t="s">
        <v>9</v>
      </c>
      <c r="G26" s="13" t="s">
        <v>0</v>
      </c>
      <c r="H26" s="12" t="s">
        <v>390</v>
      </c>
      <c r="I26" s="11">
        <v>1900</v>
      </c>
      <c r="J26" s="10"/>
      <c r="K26" s="9">
        <v>1900</v>
      </c>
      <c r="L26" s="8">
        <f t="shared" si="0"/>
        <v>0</v>
      </c>
    </row>
    <row r="27" spans="1:12" ht="162" customHeight="1" thickBot="1" x14ac:dyDescent="0.3">
      <c r="A27" s="47"/>
      <c r="B27" s="24" t="s">
        <v>32</v>
      </c>
      <c r="C27" s="12" t="s">
        <v>31</v>
      </c>
      <c r="D27" s="12" t="s">
        <v>24</v>
      </c>
      <c r="E27" s="13" t="s">
        <v>71</v>
      </c>
      <c r="F27" s="22" t="s">
        <v>4</v>
      </c>
      <c r="G27" s="13" t="s">
        <v>0</v>
      </c>
      <c r="H27" s="12" t="s">
        <v>381</v>
      </c>
      <c r="I27" s="11">
        <v>1288</v>
      </c>
      <c r="J27" s="10"/>
      <c r="K27" s="9">
        <v>1288</v>
      </c>
      <c r="L27" s="8">
        <f t="shared" si="0"/>
        <v>0</v>
      </c>
    </row>
    <row r="28" spans="1:12" ht="162" customHeight="1" thickBot="1" x14ac:dyDescent="0.3">
      <c r="A28" s="47"/>
      <c r="B28" s="24" t="s">
        <v>32</v>
      </c>
      <c r="C28" s="12" t="s">
        <v>31</v>
      </c>
      <c r="D28" s="12" t="s">
        <v>24</v>
      </c>
      <c r="E28" s="13" t="s">
        <v>78</v>
      </c>
      <c r="F28" s="22" t="s">
        <v>4</v>
      </c>
      <c r="G28" s="13" t="s">
        <v>0</v>
      </c>
      <c r="H28" s="12" t="s">
        <v>381</v>
      </c>
      <c r="I28" s="11">
        <v>2000</v>
      </c>
      <c r="J28" s="10"/>
      <c r="K28" s="9">
        <v>2000</v>
      </c>
      <c r="L28" s="8">
        <f t="shared" si="0"/>
        <v>0</v>
      </c>
    </row>
    <row r="29" spans="1:12" ht="165.75" customHeight="1" thickBot="1" x14ac:dyDescent="0.3">
      <c r="A29" s="47"/>
      <c r="B29" s="24" t="s">
        <v>40</v>
      </c>
      <c r="C29" s="12" t="s">
        <v>27</v>
      </c>
      <c r="D29" s="12" t="s">
        <v>24</v>
      </c>
      <c r="E29" s="13" t="s">
        <v>377</v>
      </c>
      <c r="F29" s="22" t="s">
        <v>9</v>
      </c>
      <c r="G29" s="13" t="s">
        <v>0</v>
      </c>
      <c r="H29" s="12" t="s">
        <v>390</v>
      </c>
      <c r="I29" s="11">
        <v>2000</v>
      </c>
      <c r="J29" s="10">
        <v>1000</v>
      </c>
      <c r="K29" s="9">
        <v>1000</v>
      </c>
      <c r="L29" s="8">
        <f t="shared" si="0"/>
        <v>0</v>
      </c>
    </row>
    <row r="30" spans="1:12" ht="165.75" customHeight="1" thickBot="1" x14ac:dyDescent="0.3">
      <c r="A30" s="47"/>
      <c r="B30" s="24" t="s">
        <v>284</v>
      </c>
      <c r="C30" s="12" t="s">
        <v>113</v>
      </c>
      <c r="D30" s="12" t="s">
        <v>24</v>
      </c>
      <c r="E30" s="13" t="s">
        <v>114</v>
      </c>
      <c r="F30" s="22" t="s">
        <v>4</v>
      </c>
      <c r="G30" s="13" t="s">
        <v>0</v>
      </c>
      <c r="H30" s="12" t="s">
        <v>381</v>
      </c>
      <c r="I30" s="11">
        <v>2000</v>
      </c>
      <c r="J30" s="10"/>
      <c r="K30" s="9">
        <v>2000</v>
      </c>
      <c r="L30" s="8">
        <f t="shared" si="0"/>
        <v>0</v>
      </c>
    </row>
    <row r="31" spans="1:12" ht="165.75" customHeight="1" thickBot="1" x14ac:dyDescent="0.3">
      <c r="A31" s="47"/>
      <c r="B31" s="24" t="s">
        <v>95</v>
      </c>
      <c r="C31" s="12" t="s">
        <v>15</v>
      </c>
      <c r="D31" s="12" t="s">
        <v>24</v>
      </c>
      <c r="E31" s="13" t="s">
        <v>96</v>
      </c>
      <c r="F31" s="22" t="s">
        <v>4</v>
      </c>
      <c r="G31" s="13" t="s">
        <v>0</v>
      </c>
      <c r="H31" s="12" t="s">
        <v>381</v>
      </c>
      <c r="I31" s="11">
        <v>2000</v>
      </c>
      <c r="J31" s="10"/>
      <c r="K31" s="9">
        <v>2000</v>
      </c>
      <c r="L31" s="8">
        <f t="shared" si="0"/>
        <v>0</v>
      </c>
    </row>
    <row r="32" spans="1:12" ht="165.75" customHeight="1" thickBot="1" x14ac:dyDescent="0.3">
      <c r="A32" s="47"/>
      <c r="B32" s="24" t="s">
        <v>95</v>
      </c>
      <c r="C32" s="12" t="s">
        <v>15</v>
      </c>
      <c r="D32" s="12" t="s">
        <v>24</v>
      </c>
      <c r="E32" s="13" t="s">
        <v>96</v>
      </c>
      <c r="F32" s="22" t="s">
        <v>4</v>
      </c>
      <c r="G32" s="13" t="s">
        <v>0</v>
      </c>
      <c r="H32" s="12" t="s">
        <v>381</v>
      </c>
      <c r="I32" s="11">
        <v>2500</v>
      </c>
      <c r="J32" s="10">
        <v>1000</v>
      </c>
      <c r="K32" s="9">
        <v>1500</v>
      </c>
      <c r="L32" s="8">
        <f t="shared" si="0"/>
        <v>0</v>
      </c>
    </row>
    <row r="33" spans="1:12" ht="165.75" customHeight="1" thickBot="1" x14ac:dyDescent="0.3">
      <c r="A33" s="47"/>
      <c r="B33" s="24" t="s">
        <v>38</v>
      </c>
      <c r="C33" s="12" t="s">
        <v>27</v>
      </c>
      <c r="D33" s="12" t="s">
        <v>24</v>
      </c>
      <c r="E33" s="13" t="s">
        <v>111</v>
      </c>
      <c r="F33" s="22" t="s">
        <v>4</v>
      </c>
      <c r="G33" s="13" t="s">
        <v>0</v>
      </c>
      <c r="H33" s="12" t="s">
        <v>381</v>
      </c>
      <c r="I33" s="11">
        <v>1530</v>
      </c>
      <c r="J33" s="10">
        <v>1000</v>
      </c>
      <c r="K33" s="9">
        <v>530</v>
      </c>
      <c r="L33" s="8">
        <f t="shared" si="0"/>
        <v>0</v>
      </c>
    </row>
    <row r="34" spans="1:12" ht="165.75" customHeight="1" thickBot="1" x14ac:dyDescent="0.3">
      <c r="A34" s="48"/>
      <c r="B34" s="24" t="s">
        <v>38</v>
      </c>
      <c r="C34" s="12" t="s">
        <v>27</v>
      </c>
      <c r="D34" s="12" t="s">
        <v>24</v>
      </c>
      <c r="E34" s="13" t="s">
        <v>377</v>
      </c>
      <c r="F34" s="22" t="s">
        <v>9</v>
      </c>
      <c r="G34" s="13" t="s">
        <v>0</v>
      </c>
      <c r="H34" s="12" t="s">
        <v>390</v>
      </c>
      <c r="I34" s="11">
        <v>2000</v>
      </c>
      <c r="J34" s="10"/>
      <c r="K34" s="9">
        <v>2000</v>
      </c>
      <c r="L34" s="8">
        <f t="shared" si="0"/>
        <v>0</v>
      </c>
    </row>
    <row r="35" spans="1:12" ht="165.75" customHeight="1" thickBot="1" x14ac:dyDescent="0.3">
      <c r="A35" s="46" t="s">
        <v>23</v>
      </c>
      <c r="B35" s="24" t="s">
        <v>12</v>
      </c>
      <c r="C35" s="12" t="s">
        <v>6</v>
      </c>
      <c r="D35" s="12" t="s">
        <v>20</v>
      </c>
      <c r="E35" s="13" t="s">
        <v>22</v>
      </c>
      <c r="F35" s="22" t="s">
        <v>4</v>
      </c>
      <c r="G35" s="13" t="s">
        <v>0</v>
      </c>
      <c r="H35" s="12" t="s">
        <v>370</v>
      </c>
      <c r="I35" s="11">
        <v>4346</v>
      </c>
      <c r="J35" s="10">
        <v>1000</v>
      </c>
      <c r="K35" s="9">
        <v>3346</v>
      </c>
      <c r="L35" s="8">
        <f t="shared" si="0"/>
        <v>0</v>
      </c>
    </row>
    <row r="36" spans="1:12" ht="165.75" customHeight="1" thickBot="1" x14ac:dyDescent="0.3">
      <c r="A36" s="47"/>
      <c r="B36" s="24" t="s">
        <v>21</v>
      </c>
      <c r="C36" s="12" t="s">
        <v>118</v>
      </c>
      <c r="D36" s="12" t="s">
        <v>20</v>
      </c>
      <c r="E36" s="13" t="s">
        <v>222</v>
      </c>
      <c r="F36" s="22" t="s">
        <v>4</v>
      </c>
      <c r="G36" s="13" t="s">
        <v>0</v>
      </c>
      <c r="H36" s="12" t="s">
        <v>381</v>
      </c>
      <c r="I36" s="11">
        <v>2000</v>
      </c>
      <c r="J36" s="10">
        <v>1000</v>
      </c>
      <c r="K36" s="9">
        <v>1000</v>
      </c>
      <c r="L36" s="8">
        <f t="shared" si="0"/>
        <v>0</v>
      </c>
    </row>
    <row r="37" spans="1:12" ht="165.75" customHeight="1" thickBot="1" x14ac:dyDescent="0.3">
      <c r="A37" s="47"/>
      <c r="B37" s="24" t="s">
        <v>21</v>
      </c>
      <c r="C37" s="12" t="s">
        <v>118</v>
      </c>
      <c r="D37" s="12" t="s">
        <v>20</v>
      </c>
      <c r="E37" s="13" t="s">
        <v>119</v>
      </c>
      <c r="F37" s="22" t="s">
        <v>4</v>
      </c>
      <c r="G37" s="13" t="s">
        <v>0</v>
      </c>
      <c r="H37" s="12" t="s">
        <v>370</v>
      </c>
      <c r="I37" s="11">
        <v>497</v>
      </c>
      <c r="J37" s="10"/>
      <c r="K37" s="9">
        <v>497</v>
      </c>
      <c r="L37" s="8">
        <f t="shared" si="0"/>
        <v>0</v>
      </c>
    </row>
    <row r="38" spans="1:12" ht="165.75" customHeight="1" thickBot="1" x14ac:dyDescent="0.3">
      <c r="A38" s="47"/>
      <c r="B38" s="24" t="s">
        <v>21</v>
      </c>
      <c r="C38" s="12" t="s">
        <v>118</v>
      </c>
      <c r="D38" s="12" t="s">
        <v>20</v>
      </c>
      <c r="E38" s="13" t="s">
        <v>119</v>
      </c>
      <c r="F38" s="22" t="s">
        <v>4</v>
      </c>
      <c r="G38" s="13" t="s">
        <v>0</v>
      </c>
      <c r="H38" s="12" t="s">
        <v>381</v>
      </c>
      <c r="I38" s="11">
        <v>2000</v>
      </c>
      <c r="J38" s="10">
        <v>1000</v>
      </c>
      <c r="K38" s="9">
        <v>1000</v>
      </c>
      <c r="L38" s="8">
        <f t="shared" si="0"/>
        <v>0</v>
      </c>
    </row>
    <row r="39" spans="1:12" ht="165.75" customHeight="1" thickBot="1" x14ac:dyDescent="0.3">
      <c r="A39" s="48"/>
      <c r="B39" s="24" t="s">
        <v>21</v>
      </c>
      <c r="C39" s="12" t="s">
        <v>3</v>
      </c>
      <c r="D39" s="12" t="s">
        <v>20</v>
      </c>
      <c r="E39" s="13" t="s">
        <v>56</v>
      </c>
      <c r="F39" s="22" t="s">
        <v>9</v>
      </c>
      <c r="G39" s="13" t="s">
        <v>0</v>
      </c>
      <c r="H39" s="12" t="s">
        <v>370</v>
      </c>
      <c r="I39" s="11">
        <v>8000</v>
      </c>
      <c r="J39" s="10"/>
      <c r="K39" s="9">
        <v>8000</v>
      </c>
      <c r="L39" s="8">
        <f t="shared" si="0"/>
        <v>0</v>
      </c>
    </row>
    <row r="40" spans="1:12" ht="165.75" customHeight="1" thickBot="1" x14ac:dyDescent="0.3">
      <c r="A40" s="21" t="s">
        <v>54</v>
      </c>
      <c r="B40" s="24" t="s">
        <v>223</v>
      </c>
      <c r="C40" s="12" t="s">
        <v>224</v>
      </c>
      <c r="D40" s="12" t="s">
        <v>60</v>
      </c>
      <c r="E40" s="13" t="s">
        <v>225</v>
      </c>
      <c r="F40" s="22" t="s">
        <v>9</v>
      </c>
      <c r="G40" s="13" t="s">
        <v>8</v>
      </c>
      <c r="H40" s="12" t="s">
        <v>390</v>
      </c>
      <c r="I40" s="11">
        <v>945</v>
      </c>
      <c r="J40" s="10">
        <v>500</v>
      </c>
      <c r="K40" s="9">
        <v>445</v>
      </c>
      <c r="L40" s="8">
        <f t="shared" si="0"/>
        <v>0</v>
      </c>
    </row>
    <row r="41" spans="1:12" ht="165.75" customHeight="1" thickBot="1" x14ac:dyDescent="0.3">
      <c r="A41" s="46" t="s">
        <v>19</v>
      </c>
      <c r="B41" s="24" t="s">
        <v>7</v>
      </c>
      <c r="C41" s="12" t="s">
        <v>17</v>
      </c>
      <c r="D41" s="12" t="s">
        <v>120</v>
      </c>
      <c r="E41" s="13" t="s">
        <v>121</v>
      </c>
      <c r="F41" s="22" t="s">
        <v>122</v>
      </c>
      <c r="G41" s="13" t="s">
        <v>0</v>
      </c>
      <c r="H41" s="12" t="s">
        <v>381</v>
      </c>
      <c r="I41" s="11">
        <v>3000</v>
      </c>
      <c r="J41" s="10">
        <v>1000</v>
      </c>
      <c r="K41" s="9">
        <v>2000</v>
      </c>
      <c r="L41" s="8">
        <f t="shared" si="0"/>
        <v>0</v>
      </c>
    </row>
    <row r="42" spans="1:12" ht="165.75" customHeight="1" thickBot="1" x14ac:dyDescent="0.3">
      <c r="A42" s="47"/>
      <c r="B42" s="24" t="s">
        <v>7</v>
      </c>
      <c r="C42" s="12" t="s">
        <v>15</v>
      </c>
      <c r="D42" s="12" t="s">
        <v>14</v>
      </c>
      <c r="E42" s="13" t="s">
        <v>58</v>
      </c>
      <c r="F42" s="22" t="s">
        <v>4</v>
      </c>
      <c r="G42" s="13" t="s">
        <v>0</v>
      </c>
      <c r="H42" s="12" t="s">
        <v>381</v>
      </c>
      <c r="I42" s="11">
        <v>180</v>
      </c>
      <c r="J42" s="10"/>
      <c r="K42" s="9">
        <v>180</v>
      </c>
      <c r="L42" s="8">
        <f t="shared" si="0"/>
        <v>0</v>
      </c>
    </row>
    <row r="43" spans="1:12" ht="165.75" customHeight="1" thickBot="1" x14ac:dyDescent="0.3">
      <c r="A43" s="47"/>
      <c r="B43" s="24" t="s">
        <v>7</v>
      </c>
      <c r="C43" s="12" t="s">
        <v>15</v>
      </c>
      <c r="D43" s="12" t="s">
        <v>14</v>
      </c>
      <c r="E43" s="13" t="s">
        <v>13</v>
      </c>
      <c r="F43" s="22" t="s">
        <v>4</v>
      </c>
      <c r="G43" s="13" t="s">
        <v>0</v>
      </c>
      <c r="H43" s="12" t="s">
        <v>381</v>
      </c>
      <c r="I43" s="11">
        <v>3000</v>
      </c>
      <c r="J43" s="10">
        <v>1000</v>
      </c>
      <c r="K43" s="9">
        <v>2000</v>
      </c>
      <c r="L43" s="8">
        <f t="shared" si="0"/>
        <v>0</v>
      </c>
    </row>
    <row r="44" spans="1:12" ht="165.75" customHeight="1" thickBot="1" x14ac:dyDescent="0.3">
      <c r="A44" s="47"/>
      <c r="B44" s="24" t="s">
        <v>12</v>
      </c>
      <c r="C44" s="12" t="s">
        <v>118</v>
      </c>
      <c r="D44" s="12" t="s">
        <v>123</v>
      </c>
      <c r="E44" s="13" t="s">
        <v>124</v>
      </c>
      <c r="F44" s="22" t="s">
        <v>380</v>
      </c>
      <c r="G44" s="13" t="s">
        <v>0</v>
      </c>
      <c r="H44" s="12" t="s">
        <v>381</v>
      </c>
      <c r="I44" s="11">
        <v>3500</v>
      </c>
      <c r="J44" s="10"/>
      <c r="K44" s="9">
        <v>3500</v>
      </c>
      <c r="L44" s="8">
        <f t="shared" si="0"/>
        <v>0</v>
      </c>
    </row>
    <row r="45" spans="1:12" ht="165.75" customHeight="1" thickBot="1" x14ac:dyDescent="0.3">
      <c r="A45" s="47"/>
      <c r="B45" s="24" t="s">
        <v>12</v>
      </c>
      <c r="C45" s="12" t="s">
        <v>3</v>
      </c>
      <c r="D45" s="12" t="s">
        <v>11</v>
      </c>
      <c r="E45" s="13" t="s">
        <v>10</v>
      </c>
      <c r="F45" s="22" t="s">
        <v>4</v>
      </c>
      <c r="G45" s="13" t="s">
        <v>0</v>
      </c>
      <c r="H45" s="12" t="s">
        <v>370</v>
      </c>
      <c r="I45" s="11">
        <v>9943</v>
      </c>
      <c r="J45" s="10"/>
      <c r="K45" s="9">
        <v>9943</v>
      </c>
      <c r="L45" s="8">
        <f t="shared" si="0"/>
        <v>0</v>
      </c>
    </row>
    <row r="46" spans="1:12" ht="165.75" customHeight="1" thickBot="1" x14ac:dyDescent="0.3">
      <c r="A46" s="47"/>
      <c r="B46" s="24" t="s">
        <v>12</v>
      </c>
      <c r="C46" s="12" t="s">
        <v>3</v>
      </c>
      <c r="D46" s="12" t="s">
        <v>11</v>
      </c>
      <c r="E46" s="13" t="s">
        <v>10</v>
      </c>
      <c r="F46" s="22" t="s">
        <v>9</v>
      </c>
      <c r="G46" s="13" t="s">
        <v>0</v>
      </c>
      <c r="H46" s="12" t="s">
        <v>381</v>
      </c>
      <c r="I46" s="11">
        <v>10000</v>
      </c>
      <c r="J46" s="10"/>
      <c r="K46" s="9">
        <v>10000</v>
      </c>
      <c r="L46" s="8">
        <f t="shared" si="0"/>
        <v>0</v>
      </c>
    </row>
    <row r="47" spans="1:12" ht="165.75" customHeight="1" thickBot="1" x14ac:dyDescent="0.3">
      <c r="A47" s="47"/>
      <c r="B47" s="24" t="s">
        <v>7</v>
      </c>
      <c r="C47" s="12" t="s">
        <v>6</v>
      </c>
      <c r="D47" s="12" t="s">
        <v>1</v>
      </c>
      <c r="E47" s="13" t="s">
        <v>5</v>
      </c>
      <c r="F47" s="22" t="s">
        <v>4</v>
      </c>
      <c r="G47" s="13" t="s">
        <v>0</v>
      </c>
      <c r="H47" s="12" t="s">
        <v>381</v>
      </c>
      <c r="I47" s="11">
        <v>5000</v>
      </c>
      <c r="J47" s="10"/>
      <c r="K47" s="9">
        <v>5000</v>
      </c>
      <c r="L47" s="8">
        <f t="shared" si="0"/>
        <v>0</v>
      </c>
    </row>
    <row r="48" spans="1:12" ht="165.75" customHeight="1" thickBot="1" x14ac:dyDescent="0.3">
      <c r="A48" s="48"/>
      <c r="B48" s="24" t="s">
        <v>194</v>
      </c>
      <c r="C48" s="12" t="s">
        <v>118</v>
      </c>
      <c r="D48" s="12" t="s">
        <v>1</v>
      </c>
      <c r="E48" s="13" t="s">
        <v>216</v>
      </c>
      <c r="F48" s="22" t="s">
        <v>122</v>
      </c>
      <c r="G48" s="13" t="s">
        <v>0</v>
      </c>
      <c r="H48" s="12" t="s">
        <v>381</v>
      </c>
      <c r="I48" s="11">
        <v>1000</v>
      </c>
      <c r="J48" s="10"/>
      <c r="K48" s="9">
        <v>1000</v>
      </c>
      <c r="L48" s="8">
        <f t="shared" si="0"/>
        <v>0</v>
      </c>
    </row>
  </sheetData>
  <autoFilter ref="A2:L38"/>
  <dataConsolidate/>
  <mergeCells count="5">
    <mergeCell ref="A41:A48"/>
    <mergeCell ref="A1:L1"/>
    <mergeCell ref="A3:A18"/>
    <mergeCell ref="A19:A34"/>
    <mergeCell ref="A35:A39"/>
  </mergeCells>
  <conditionalFormatting sqref="I2:I36 K3:L36 L37:L48">
    <cfRule type="cellIs" dxfId="50" priority="4" operator="lessThan">
      <formula>0</formula>
    </cfRule>
  </conditionalFormatting>
  <conditionalFormatting sqref="L2">
    <cfRule type="cellIs" dxfId="49" priority="3" operator="lessThan">
      <formula>0</formula>
    </cfRule>
  </conditionalFormatting>
  <conditionalFormatting sqref="I37:I48 K37:K48">
    <cfRule type="cellIs" dxfId="48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5"/>
  <sheetViews>
    <sheetView showGridLines="0" view="pageBreakPreview" zoomScale="20" zoomScaleNormal="15" zoomScaleSheetLayoutView="20" workbookViewId="0">
      <selection activeCell="E9" sqref="E9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391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40</v>
      </c>
      <c r="C3" s="12" t="s">
        <v>149</v>
      </c>
      <c r="D3" s="12" t="s">
        <v>126</v>
      </c>
      <c r="E3" s="13" t="s">
        <v>150</v>
      </c>
      <c r="F3" s="22" t="s">
        <v>122</v>
      </c>
      <c r="G3" s="13" t="s">
        <v>0</v>
      </c>
      <c r="H3" s="12" t="s">
        <v>381</v>
      </c>
      <c r="I3" s="11">
        <v>77</v>
      </c>
      <c r="J3" s="10"/>
      <c r="K3" s="9">
        <v>77</v>
      </c>
      <c r="L3" s="8">
        <f t="shared" ref="L3:L35" si="0">K3+J3-I3</f>
        <v>0</v>
      </c>
    </row>
    <row r="4" spans="1:12" ht="162" customHeight="1" thickBot="1" x14ac:dyDescent="0.3">
      <c r="A4" s="47"/>
      <c r="B4" s="13" t="s">
        <v>136</v>
      </c>
      <c r="C4" s="12" t="s">
        <v>118</v>
      </c>
      <c r="D4" s="12" t="s">
        <v>126</v>
      </c>
      <c r="E4" s="13" t="s">
        <v>221</v>
      </c>
      <c r="F4" s="22" t="s">
        <v>122</v>
      </c>
      <c r="G4" s="13" t="s">
        <v>0</v>
      </c>
      <c r="H4" s="12" t="s">
        <v>390</v>
      </c>
      <c r="I4" s="11">
        <v>3000</v>
      </c>
      <c r="J4" s="10"/>
      <c r="K4" s="9">
        <v>3000</v>
      </c>
      <c r="L4" s="8">
        <f t="shared" si="0"/>
        <v>0</v>
      </c>
    </row>
    <row r="5" spans="1:12" ht="162" customHeight="1" thickBot="1" x14ac:dyDescent="0.3">
      <c r="A5" s="47"/>
      <c r="B5" s="13" t="s">
        <v>136</v>
      </c>
      <c r="C5" s="12" t="s">
        <v>3</v>
      </c>
      <c r="D5" s="12" t="s">
        <v>126</v>
      </c>
      <c r="E5" s="13" t="s">
        <v>392</v>
      </c>
      <c r="F5" s="22" t="s">
        <v>122</v>
      </c>
      <c r="G5" s="13" t="s">
        <v>0</v>
      </c>
      <c r="H5" s="12" t="s">
        <v>390</v>
      </c>
      <c r="I5" s="11">
        <v>5000</v>
      </c>
      <c r="J5" s="10"/>
      <c r="K5" s="9">
        <v>5000</v>
      </c>
      <c r="L5" s="8">
        <f t="shared" si="0"/>
        <v>0</v>
      </c>
    </row>
    <row r="6" spans="1:12" ht="162" customHeight="1" thickBot="1" x14ac:dyDescent="0.3">
      <c r="A6" s="47"/>
      <c r="B6" s="13" t="s">
        <v>29</v>
      </c>
      <c r="C6" s="12" t="s">
        <v>393</v>
      </c>
      <c r="D6" s="12" t="s">
        <v>24</v>
      </c>
      <c r="E6" s="13" t="s">
        <v>394</v>
      </c>
      <c r="F6" s="22" t="s">
        <v>4</v>
      </c>
      <c r="G6" s="13" t="s">
        <v>37</v>
      </c>
      <c r="H6" s="12" t="s">
        <v>390</v>
      </c>
      <c r="I6" s="11">
        <v>1090</v>
      </c>
      <c r="J6" s="10"/>
      <c r="K6" s="9">
        <v>1090</v>
      </c>
      <c r="L6" s="8">
        <f t="shared" si="0"/>
        <v>0</v>
      </c>
    </row>
    <row r="7" spans="1:12" ht="162" customHeight="1" thickBot="1" x14ac:dyDescent="0.3">
      <c r="A7" s="47"/>
      <c r="B7" s="13" t="s">
        <v>29</v>
      </c>
      <c r="C7" s="12" t="s">
        <v>73</v>
      </c>
      <c r="D7" s="12" t="s">
        <v>24</v>
      </c>
      <c r="E7" s="13" t="s">
        <v>395</v>
      </c>
      <c r="F7" s="22" t="s">
        <v>4</v>
      </c>
      <c r="G7" s="13" t="s">
        <v>37</v>
      </c>
      <c r="H7" s="12" t="s">
        <v>390</v>
      </c>
      <c r="I7" s="11">
        <v>110</v>
      </c>
      <c r="J7" s="10"/>
      <c r="K7" s="9">
        <v>110</v>
      </c>
      <c r="L7" s="8">
        <f t="shared" si="0"/>
        <v>0</v>
      </c>
    </row>
    <row r="8" spans="1:12" ht="162" customHeight="1" thickBot="1" x14ac:dyDescent="0.3">
      <c r="A8" s="48"/>
      <c r="B8" s="13" t="s">
        <v>29</v>
      </c>
      <c r="C8" s="12" t="s">
        <v>85</v>
      </c>
      <c r="D8" s="12" t="s">
        <v>24</v>
      </c>
      <c r="E8" s="13" t="s">
        <v>396</v>
      </c>
      <c r="F8" s="22" t="s">
        <v>4</v>
      </c>
      <c r="G8" s="13" t="s">
        <v>37</v>
      </c>
      <c r="H8" s="12" t="s">
        <v>390</v>
      </c>
      <c r="I8" s="11">
        <v>300</v>
      </c>
      <c r="J8" s="10"/>
      <c r="K8" s="9">
        <v>300</v>
      </c>
      <c r="L8" s="8">
        <f t="shared" si="0"/>
        <v>0</v>
      </c>
    </row>
    <row r="9" spans="1:12" ht="162" customHeight="1" thickBot="1" x14ac:dyDescent="0.3">
      <c r="A9" s="46" t="s">
        <v>36</v>
      </c>
      <c r="B9" s="13" t="s">
        <v>284</v>
      </c>
      <c r="C9" s="12" t="s">
        <v>113</v>
      </c>
      <c r="D9" s="12" t="s">
        <v>24</v>
      </c>
      <c r="E9" s="13" t="s">
        <v>114</v>
      </c>
      <c r="F9" s="22" t="s">
        <v>4</v>
      </c>
      <c r="G9" s="13" t="s">
        <v>0</v>
      </c>
      <c r="H9" s="12" t="s">
        <v>381</v>
      </c>
      <c r="I9" s="11">
        <v>1045</v>
      </c>
      <c r="J9" s="10"/>
      <c r="K9" s="9">
        <v>1045</v>
      </c>
      <c r="L9" s="8">
        <f t="shared" si="0"/>
        <v>0</v>
      </c>
    </row>
    <row r="10" spans="1:12" ht="162" customHeight="1" thickBot="1" x14ac:dyDescent="0.3">
      <c r="A10" s="48"/>
      <c r="B10" s="13" t="s">
        <v>95</v>
      </c>
      <c r="C10" s="12" t="s">
        <v>15</v>
      </c>
      <c r="D10" s="12" t="s">
        <v>24</v>
      </c>
      <c r="E10" s="13" t="s">
        <v>96</v>
      </c>
      <c r="F10" s="22" t="s">
        <v>4</v>
      </c>
      <c r="G10" s="13" t="s">
        <v>0</v>
      </c>
      <c r="H10" s="12" t="s">
        <v>381</v>
      </c>
      <c r="I10" s="11">
        <v>820</v>
      </c>
      <c r="J10" s="10"/>
      <c r="K10" s="9">
        <v>820</v>
      </c>
      <c r="L10" s="8">
        <f t="shared" si="0"/>
        <v>0</v>
      </c>
    </row>
    <row r="11" spans="1:12" ht="162" customHeight="1" thickBot="1" x14ac:dyDescent="0.3">
      <c r="A11" s="46" t="s">
        <v>23</v>
      </c>
      <c r="B11" s="13" t="s">
        <v>12</v>
      </c>
      <c r="C11" s="12" t="s">
        <v>6</v>
      </c>
      <c r="D11" s="12" t="s">
        <v>20</v>
      </c>
      <c r="E11" s="13" t="s">
        <v>22</v>
      </c>
      <c r="F11" s="22" t="s">
        <v>4</v>
      </c>
      <c r="G11" s="13" t="s">
        <v>0</v>
      </c>
      <c r="H11" s="12" t="s">
        <v>381</v>
      </c>
      <c r="I11" s="11">
        <v>2802</v>
      </c>
      <c r="J11" s="10"/>
      <c r="K11" s="9">
        <v>2802</v>
      </c>
      <c r="L11" s="8">
        <f t="shared" si="0"/>
        <v>0</v>
      </c>
    </row>
    <row r="12" spans="1:12" ht="162" customHeight="1" thickBot="1" x14ac:dyDescent="0.3">
      <c r="A12" s="47"/>
      <c r="B12" s="13" t="s">
        <v>21</v>
      </c>
      <c r="C12" s="12" t="s">
        <v>118</v>
      </c>
      <c r="D12" s="12" t="s">
        <v>20</v>
      </c>
      <c r="E12" s="13" t="s">
        <v>222</v>
      </c>
      <c r="F12" s="22" t="s">
        <v>4</v>
      </c>
      <c r="G12" s="13" t="s">
        <v>0</v>
      </c>
      <c r="H12" s="12" t="s">
        <v>381</v>
      </c>
      <c r="I12" s="11">
        <v>1250</v>
      </c>
      <c r="J12" s="10"/>
      <c r="K12" s="9">
        <v>1250</v>
      </c>
      <c r="L12" s="8">
        <f t="shared" si="0"/>
        <v>0</v>
      </c>
    </row>
    <row r="13" spans="1:12" ht="162" customHeight="1" thickBot="1" x14ac:dyDescent="0.3">
      <c r="A13" s="48"/>
      <c r="B13" s="13" t="s">
        <v>21</v>
      </c>
      <c r="C13" s="12" t="s">
        <v>3</v>
      </c>
      <c r="D13" s="12" t="s">
        <v>20</v>
      </c>
      <c r="E13" s="13" t="s">
        <v>56</v>
      </c>
      <c r="F13" s="22" t="s">
        <v>9</v>
      </c>
      <c r="G13" s="13" t="s">
        <v>0</v>
      </c>
      <c r="H13" s="12" t="s">
        <v>390</v>
      </c>
      <c r="I13" s="11">
        <v>5000</v>
      </c>
      <c r="J13" s="10"/>
      <c r="K13" s="9">
        <v>5000</v>
      </c>
      <c r="L13" s="8">
        <f t="shared" si="0"/>
        <v>0</v>
      </c>
    </row>
    <row r="14" spans="1:12" ht="162" customHeight="1" thickBot="1" x14ac:dyDescent="0.3">
      <c r="A14" s="46" t="s">
        <v>54</v>
      </c>
      <c r="B14" s="13" t="s">
        <v>104</v>
      </c>
      <c r="C14" s="12" t="s">
        <v>211</v>
      </c>
      <c r="D14" s="12" t="s">
        <v>60</v>
      </c>
      <c r="E14" s="13" t="s">
        <v>397</v>
      </c>
      <c r="F14" s="22" t="s">
        <v>64</v>
      </c>
      <c r="G14" s="13" t="s">
        <v>37</v>
      </c>
      <c r="H14" s="12" t="s">
        <v>390</v>
      </c>
      <c r="I14" s="11">
        <v>10</v>
      </c>
      <c r="J14" s="10"/>
      <c r="K14" s="9">
        <v>10</v>
      </c>
      <c r="L14" s="8">
        <f t="shared" si="0"/>
        <v>0</v>
      </c>
    </row>
    <row r="15" spans="1:12" ht="162" customHeight="1" thickBot="1" x14ac:dyDescent="0.3">
      <c r="A15" s="47"/>
      <c r="B15" s="13" t="s">
        <v>104</v>
      </c>
      <c r="C15" s="12" t="s">
        <v>211</v>
      </c>
      <c r="D15" s="12" t="s">
        <v>60</v>
      </c>
      <c r="E15" s="13" t="s">
        <v>254</v>
      </c>
      <c r="F15" s="22" t="s">
        <v>64</v>
      </c>
      <c r="G15" s="13" t="s">
        <v>37</v>
      </c>
      <c r="H15" s="12" t="s">
        <v>390</v>
      </c>
      <c r="I15" s="11">
        <v>14</v>
      </c>
      <c r="J15" s="10"/>
      <c r="K15" s="9">
        <v>14</v>
      </c>
      <c r="L15" s="8">
        <f t="shared" si="0"/>
        <v>0</v>
      </c>
    </row>
    <row r="16" spans="1:12" ht="162" customHeight="1" thickBot="1" x14ac:dyDescent="0.3">
      <c r="A16" s="47"/>
      <c r="B16" s="13" t="s">
        <v>104</v>
      </c>
      <c r="C16" s="12" t="s">
        <v>211</v>
      </c>
      <c r="D16" s="12" t="s">
        <v>60</v>
      </c>
      <c r="E16" s="13" t="s">
        <v>398</v>
      </c>
      <c r="F16" s="22" t="s">
        <v>64</v>
      </c>
      <c r="G16" s="13" t="s">
        <v>37</v>
      </c>
      <c r="H16" s="12" t="s">
        <v>390</v>
      </c>
      <c r="I16" s="11">
        <v>35</v>
      </c>
      <c r="J16" s="10"/>
      <c r="K16" s="9">
        <v>35</v>
      </c>
      <c r="L16" s="8">
        <f t="shared" si="0"/>
        <v>0</v>
      </c>
    </row>
    <row r="17" spans="1:12" ht="162" customHeight="1" thickBot="1" x14ac:dyDescent="0.3">
      <c r="A17" s="47"/>
      <c r="B17" s="24" t="s">
        <v>104</v>
      </c>
      <c r="C17" s="12" t="s">
        <v>211</v>
      </c>
      <c r="D17" s="12" t="s">
        <v>60</v>
      </c>
      <c r="E17" s="13" t="s">
        <v>255</v>
      </c>
      <c r="F17" s="22" t="s">
        <v>64</v>
      </c>
      <c r="G17" s="13" t="s">
        <v>37</v>
      </c>
      <c r="H17" s="12" t="s">
        <v>390</v>
      </c>
      <c r="I17" s="11">
        <v>34</v>
      </c>
      <c r="J17" s="10"/>
      <c r="K17" s="9">
        <v>34</v>
      </c>
      <c r="L17" s="8">
        <f t="shared" si="0"/>
        <v>0</v>
      </c>
    </row>
    <row r="18" spans="1:12" ht="162" customHeight="1" thickBot="1" x14ac:dyDescent="0.3">
      <c r="A18" s="47"/>
      <c r="B18" s="24" t="s">
        <v>104</v>
      </c>
      <c r="C18" s="12" t="s">
        <v>211</v>
      </c>
      <c r="D18" s="12" t="s">
        <v>60</v>
      </c>
      <c r="E18" s="13" t="s">
        <v>399</v>
      </c>
      <c r="F18" s="22" t="s">
        <v>64</v>
      </c>
      <c r="G18" s="13" t="s">
        <v>37</v>
      </c>
      <c r="H18" s="12" t="s">
        <v>390</v>
      </c>
      <c r="I18" s="11">
        <v>4</v>
      </c>
      <c r="J18" s="10"/>
      <c r="K18" s="9">
        <v>4</v>
      </c>
      <c r="L18" s="8">
        <f t="shared" si="0"/>
        <v>0</v>
      </c>
    </row>
    <row r="19" spans="1:12" ht="162" customHeight="1" thickBot="1" x14ac:dyDescent="0.3">
      <c r="A19" s="47"/>
      <c r="B19" s="24" t="s">
        <v>104</v>
      </c>
      <c r="C19" s="12" t="s">
        <v>211</v>
      </c>
      <c r="D19" s="12" t="s">
        <v>60</v>
      </c>
      <c r="E19" s="13" t="s">
        <v>400</v>
      </c>
      <c r="F19" s="22" t="s">
        <v>64</v>
      </c>
      <c r="G19" s="13" t="s">
        <v>37</v>
      </c>
      <c r="H19" s="12" t="s">
        <v>390</v>
      </c>
      <c r="I19" s="11">
        <v>79</v>
      </c>
      <c r="J19" s="10"/>
      <c r="K19" s="9">
        <v>79</v>
      </c>
      <c r="L19" s="8">
        <f t="shared" si="0"/>
        <v>0</v>
      </c>
    </row>
    <row r="20" spans="1:12" ht="162" customHeight="1" thickBot="1" x14ac:dyDescent="0.3">
      <c r="A20" s="47"/>
      <c r="B20" s="24" t="s">
        <v>104</v>
      </c>
      <c r="C20" s="12" t="s">
        <v>211</v>
      </c>
      <c r="D20" s="22" t="s">
        <v>60</v>
      </c>
      <c r="E20" s="13" t="s">
        <v>401</v>
      </c>
      <c r="F20" s="22" t="s">
        <v>64</v>
      </c>
      <c r="G20" s="13" t="s">
        <v>37</v>
      </c>
      <c r="H20" s="12" t="s">
        <v>390</v>
      </c>
      <c r="I20" s="11">
        <v>93</v>
      </c>
      <c r="J20" s="10"/>
      <c r="K20" s="9">
        <v>93</v>
      </c>
      <c r="L20" s="8">
        <f t="shared" si="0"/>
        <v>0</v>
      </c>
    </row>
    <row r="21" spans="1:12" ht="162" customHeight="1" thickBot="1" x14ac:dyDescent="0.3">
      <c r="A21" s="47"/>
      <c r="B21" s="24" t="s">
        <v>104</v>
      </c>
      <c r="C21" s="12" t="s">
        <v>211</v>
      </c>
      <c r="D21" s="22" t="s">
        <v>60</v>
      </c>
      <c r="E21" s="13" t="s">
        <v>402</v>
      </c>
      <c r="F21" s="22" t="s">
        <v>64</v>
      </c>
      <c r="G21" s="13" t="s">
        <v>37</v>
      </c>
      <c r="H21" s="12" t="s">
        <v>390</v>
      </c>
      <c r="I21" s="11">
        <v>64</v>
      </c>
      <c r="J21" s="10"/>
      <c r="K21" s="9">
        <v>64</v>
      </c>
      <c r="L21" s="8">
        <f t="shared" si="0"/>
        <v>0</v>
      </c>
    </row>
    <row r="22" spans="1:12" ht="162" customHeight="1" thickBot="1" x14ac:dyDescent="0.3">
      <c r="A22" s="47"/>
      <c r="B22" s="24" t="s">
        <v>104</v>
      </c>
      <c r="C22" s="12" t="s">
        <v>211</v>
      </c>
      <c r="D22" s="22" t="s">
        <v>60</v>
      </c>
      <c r="E22" s="13" t="s">
        <v>403</v>
      </c>
      <c r="F22" s="22" t="s">
        <v>64</v>
      </c>
      <c r="G22" s="13" t="s">
        <v>37</v>
      </c>
      <c r="H22" s="12" t="s">
        <v>390</v>
      </c>
      <c r="I22" s="11">
        <v>30</v>
      </c>
      <c r="J22" s="10"/>
      <c r="K22" s="9">
        <v>30</v>
      </c>
      <c r="L22" s="8">
        <f t="shared" si="0"/>
        <v>0</v>
      </c>
    </row>
    <row r="23" spans="1:12" ht="162" customHeight="1" thickBot="1" x14ac:dyDescent="0.3">
      <c r="A23" s="47"/>
      <c r="B23" s="24" t="s">
        <v>104</v>
      </c>
      <c r="C23" s="12" t="s">
        <v>211</v>
      </c>
      <c r="D23" s="22" t="s">
        <v>60</v>
      </c>
      <c r="E23" s="13" t="s">
        <v>404</v>
      </c>
      <c r="F23" s="22" t="s">
        <v>64</v>
      </c>
      <c r="G23" s="13" t="s">
        <v>37</v>
      </c>
      <c r="H23" s="12" t="s">
        <v>390</v>
      </c>
      <c r="I23" s="11">
        <v>10</v>
      </c>
      <c r="J23" s="10"/>
      <c r="K23" s="9">
        <v>10</v>
      </c>
      <c r="L23" s="8">
        <f t="shared" si="0"/>
        <v>0</v>
      </c>
    </row>
    <row r="24" spans="1:12" ht="162" customHeight="1" thickBot="1" x14ac:dyDescent="0.3">
      <c r="A24" s="47"/>
      <c r="B24" s="24" t="s">
        <v>104</v>
      </c>
      <c r="C24" s="12" t="s">
        <v>211</v>
      </c>
      <c r="D24" s="22" t="s">
        <v>60</v>
      </c>
      <c r="E24" s="13" t="s">
        <v>257</v>
      </c>
      <c r="F24" s="22" t="s">
        <v>64</v>
      </c>
      <c r="G24" s="13" t="s">
        <v>37</v>
      </c>
      <c r="H24" s="12" t="s">
        <v>390</v>
      </c>
      <c r="I24" s="11">
        <v>21</v>
      </c>
      <c r="J24" s="10"/>
      <c r="K24" s="9">
        <v>21</v>
      </c>
      <c r="L24" s="8">
        <f t="shared" si="0"/>
        <v>0</v>
      </c>
    </row>
    <row r="25" spans="1:12" ht="162" customHeight="1" thickBot="1" x14ac:dyDescent="0.3">
      <c r="A25" s="47"/>
      <c r="B25" s="24" t="s">
        <v>104</v>
      </c>
      <c r="C25" s="12" t="s">
        <v>211</v>
      </c>
      <c r="D25" s="22" t="s">
        <v>60</v>
      </c>
      <c r="E25" s="13" t="s">
        <v>405</v>
      </c>
      <c r="F25" s="22" t="s">
        <v>64</v>
      </c>
      <c r="G25" s="13" t="s">
        <v>37</v>
      </c>
      <c r="H25" s="12" t="s">
        <v>390</v>
      </c>
      <c r="I25" s="11">
        <v>94</v>
      </c>
      <c r="J25" s="10"/>
      <c r="K25" s="9">
        <v>94</v>
      </c>
      <c r="L25" s="8">
        <f t="shared" si="0"/>
        <v>0</v>
      </c>
    </row>
    <row r="26" spans="1:12" ht="162" customHeight="1" thickBot="1" x14ac:dyDescent="0.3">
      <c r="A26" s="47"/>
      <c r="B26" s="24" t="s">
        <v>104</v>
      </c>
      <c r="C26" s="12" t="s">
        <v>267</v>
      </c>
      <c r="D26" s="12" t="s">
        <v>60</v>
      </c>
      <c r="E26" s="13" t="s">
        <v>406</v>
      </c>
      <c r="F26" s="22" t="s">
        <v>64</v>
      </c>
      <c r="G26" s="13" t="s">
        <v>37</v>
      </c>
      <c r="H26" s="12" t="s">
        <v>390</v>
      </c>
      <c r="I26" s="11">
        <v>2</v>
      </c>
      <c r="J26" s="10"/>
      <c r="K26" s="9">
        <v>2</v>
      </c>
      <c r="L26" s="8">
        <f t="shared" si="0"/>
        <v>0</v>
      </c>
    </row>
    <row r="27" spans="1:12" ht="162" customHeight="1" thickBot="1" x14ac:dyDescent="0.3">
      <c r="A27" s="47"/>
      <c r="B27" s="24" t="s">
        <v>104</v>
      </c>
      <c r="C27" s="12" t="s">
        <v>69</v>
      </c>
      <c r="D27" s="12" t="s">
        <v>60</v>
      </c>
      <c r="E27" s="13" t="s">
        <v>407</v>
      </c>
      <c r="F27" s="22" t="s">
        <v>64</v>
      </c>
      <c r="G27" s="13" t="s">
        <v>37</v>
      </c>
      <c r="H27" s="12" t="s">
        <v>390</v>
      </c>
      <c r="I27" s="11">
        <v>2</v>
      </c>
      <c r="J27" s="10"/>
      <c r="K27" s="9">
        <v>2</v>
      </c>
      <c r="L27" s="8">
        <f t="shared" si="0"/>
        <v>0</v>
      </c>
    </row>
    <row r="28" spans="1:12" ht="162" customHeight="1" thickBot="1" x14ac:dyDescent="0.3">
      <c r="A28" s="47"/>
      <c r="B28" s="24" t="s">
        <v>104</v>
      </c>
      <c r="C28" s="12" t="s">
        <v>69</v>
      </c>
      <c r="D28" s="12" t="s">
        <v>60</v>
      </c>
      <c r="E28" s="13" t="s">
        <v>269</v>
      </c>
      <c r="F28" s="22" t="s">
        <v>64</v>
      </c>
      <c r="G28" s="13" t="s">
        <v>37</v>
      </c>
      <c r="H28" s="12" t="s">
        <v>390</v>
      </c>
      <c r="I28" s="11">
        <v>140</v>
      </c>
      <c r="J28" s="10"/>
      <c r="K28" s="9">
        <v>140</v>
      </c>
      <c r="L28" s="8">
        <f t="shared" si="0"/>
        <v>0</v>
      </c>
    </row>
    <row r="29" spans="1:12" ht="165.75" customHeight="1" thickBot="1" x14ac:dyDescent="0.3">
      <c r="A29" s="48"/>
      <c r="B29" s="24" t="s">
        <v>104</v>
      </c>
      <c r="C29" s="12" t="s">
        <v>69</v>
      </c>
      <c r="D29" s="12" t="s">
        <v>60</v>
      </c>
      <c r="E29" s="13" t="s">
        <v>408</v>
      </c>
      <c r="F29" s="22" t="s">
        <v>64</v>
      </c>
      <c r="G29" s="13" t="s">
        <v>37</v>
      </c>
      <c r="H29" s="12" t="s">
        <v>390</v>
      </c>
      <c r="I29" s="11">
        <v>7</v>
      </c>
      <c r="J29" s="10"/>
      <c r="K29" s="9">
        <v>7</v>
      </c>
      <c r="L29" s="8">
        <f t="shared" si="0"/>
        <v>0</v>
      </c>
    </row>
    <row r="30" spans="1:12" ht="165.75" customHeight="1" thickBot="1" x14ac:dyDescent="0.3">
      <c r="A30" s="46" t="s">
        <v>19</v>
      </c>
      <c r="B30" s="24" t="s">
        <v>7</v>
      </c>
      <c r="C30" s="12" t="s">
        <v>17</v>
      </c>
      <c r="D30" s="12" t="s">
        <v>120</v>
      </c>
      <c r="E30" s="13" t="s">
        <v>121</v>
      </c>
      <c r="F30" s="22" t="s">
        <v>122</v>
      </c>
      <c r="G30" s="13" t="s">
        <v>0</v>
      </c>
      <c r="H30" s="12" t="s">
        <v>381</v>
      </c>
      <c r="I30" s="11">
        <v>2000</v>
      </c>
      <c r="J30" s="10"/>
      <c r="K30" s="9">
        <v>2000</v>
      </c>
      <c r="L30" s="8">
        <f t="shared" si="0"/>
        <v>0</v>
      </c>
    </row>
    <row r="31" spans="1:12" ht="165.75" customHeight="1" thickBot="1" x14ac:dyDescent="0.3">
      <c r="A31" s="47"/>
      <c r="B31" s="24" t="s">
        <v>21</v>
      </c>
      <c r="C31" s="12" t="s">
        <v>105</v>
      </c>
      <c r="D31" s="12" t="s">
        <v>14</v>
      </c>
      <c r="E31" s="13" t="s">
        <v>357</v>
      </c>
      <c r="F31" s="22" t="s">
        <v>9</v>
      </c>
      <c r="G31" s="13" t="s">
        <v>0</v>
      </c>
      <c r="H31" s="12" t="s">
        <v>390</v>
      </c>
      <c r="I31" s="11">
        <v>400</v>
      </c>
      <c r="J31" s="10"/>
      <c r="K31" s="9">
        <v>400</v>
      </c>
      <c r="L31" s="8">
        <f t="shared" si="0"/>
        <v>0</v>
      </c>
    </row>
    <row r="32" spans="1:12" ht="165.75" customHeight="1" thickBot="1" x14ac:dyDescent="0.3">
      <c r="A32" s="47"/>
      <c r="B32" s="24" t="s">
        <v>12</v>
      </c>
      <c r="C32" s="12" t="s">
        <v>118</v>
      </c>
      <c r="D32" s="12" t="s">
        <v>123</v>
      </c>
      <c r="E32" s="13" t="s">
        <v>124</v>
      </c>
      <c r="F32" s="22" t="s">
        <v>9</v>
      </c>
      <c r="G32" s="13" t="s">
        <v>0</v>
      </c>
      <c r="H32" s="12" t="s">
        <v>390</v>
      </c>
      <c r="I32" s="11">
        <v>1500</v>
      </c>
      <c r="J32" s="10"/>
      <c r="K32" s="9">
        <v>1500</v>
      </c>
      <c r="L32" s="8">
        <f t="shared" si="0"/>
        <v>0</v>
      </c>
    </row>
    <row r="33" spans="1:12" ht="165.75" customHeight="1" thickBot="1" x14ac:dyDescent="0.3">
      <c r="A33" s="47"/>
      <c r="B33" s="24" t="s">
        <v>12</v>
      </c>
      <c r="C33" s="12" t="s">
        <v>3</v>
      </c>
      <c r="D33" s="12" t="s">
        <v>11</v>
      </c>
      <c r="E33" s="13" t="s">
        <v>10</v>
      </c>
      <c r="F33" s="22" t="s">
        <v>4</v>
      </c>
      <c r="G33" s="13" t="s">
        <v>0</v>
      </c>
      <c r="H33" s="12" t="s">
        <v>381</v>
      </c>
      <c r="I33" s="11">
        <v>5000</v>
      </c>
      <c r="J33" s="10"/>
      <c r="K33" s="9">
        <v>5000</v>
      </c>
      <c r="L33" s="8">
        <f t="shared" si="0"/>
        <v>0</v>
      </c>
    </row>
    <row r="34" spans="1:12" ht="165.75" customHeight="1" thickBot="1" x14ac:dyDescent="0.3">
      <c r="A34" s="47"/>
      <c r="B34" s="24" t="s">
        <v>12</v>
      </c>
      <c r="C34" s="12" t="s">
        <v>3</v>
      </c>
      <c r="D34" s="12" t="s">
        <v>11</v>
      </c>
      <c r="E34" s="13" t="s">
        <v>409</v>
      </c>
      <c r="F34" s="22" t="s">
        <v>4</v>
      </c>
      <c r="G34" s="13" t="s">
        <v>0</v>
      </c>
      <c r="H34" s="12" t="s">
        <v>381</v>
      </c>
      <c r="I34" s="11">
        <v>1750</v>
      </c>
      <c r="J34" s="10"/>
      <c r="K34" s="9">
        <v>1750</v>
      </c>
      <c r="L34" s="8">
        <f t="shared" si="0"/>
        <v>0</v>
      </c>
    </row>
    <row r="35" spans="1:12" ht="165.75" customHeight="1" thickBot="1" x14ac:dyDescent="0.3">
      <c r="A35" s="48"/>
      <c r="B35" s="24" t="s">
        <v>194</v>
      </c>
      <c r="C35" s="12" t="s">
        <v>118</v>
      </c>
      <c r="D35" s="12" t="s">
        <v>1</v>
      </c>
      <c r="E35" s="13" t="s">
        <v>216</v>
      </c>
      <c r="F35" s="22" t="s">
        <v>122</v>
      </c>
      <c r="G35" s="13" t="s">
        <v>0</v>
      </c>
      <c r="H35" s="12" t="s">
        <v>390</v>
      </c>
      <c r="I35" s="11">
        <v>5000</v>
      </c>
      <c r="J35" s="10"/>
      <c r="K35" s="9">
        <v>5000</v>
      </c>
      <c r="L35" s="8">
        <f t="shared" si="0"/>
        <v>0</v>
      </c>
    </row>
  </sheetData>
  <autoFilter ref="A2:L34"/>
  <dataConsolidate/>
  <mergeCells count="6">
    <mergeCell ref="A14:A29"/>
    <mergeCell ref="A30:A35"/>
    <mergeCell ref="A1:L1"/>
    <mergeCell ref="A3:A8"/>
    <mergeCell ref="A9:A10"/>
    <mergeCell ref="A11:A13"/>
  </mergeCells>
  <conditionalFormatting sqref="I2:I35 K3:L35">
    <cfRule type="cellIs" dxfId="47" priority="2" operator="lessThan">
      <formula>0</formula>
    </cfRule>
  </conditionalFormatting>
  <conditionalFormatting sqref="L2">
    <cfRule type="cellIs" dxfId="46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74"/>
  <sheetViews>
    <sheetView showGridLines="0" view="pageBreakPreview" topLeftCell="A65" zoomScale="20" zoomScaleNormal="15" zoomScaleSheetLayoutView="20" workbookViewId="0">
      <selection activeCell="K75" sqref="K75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410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411</v>
      </c>
      <c r="I3" s="11">
        <v>3000</v>
      </c>
      <c r="J3" s="10">
        <v>1000</v>
      </c>
      <c r="K3" s="9">
        <v>2000</v>
      </c>
      <c r="L3" s="8">
        <f t="shared" ref="L3:L66" si="0">K3+J3-I3</f>
        <v>0</v>
      </c>
    </row>
    <row r="4" spans="1:12" ht="162" customHeight="1" thickBot="1" x14ac:dyDescent="0.3">
      <c r="A4" s="47"/>
      <c r="B4" s="13" t="s">
        <v>40</v>
      </c>
      <c r="C4" s="12" t="s">
        <v>412</v>
      </c>
      <c r="D4" s="12" t="s">
        <v>126</v>
      </c>
      <c r="E4" s="13" t="s">
        <v>413</v>
      </c>
      <c r="F4" s="22" t="s">
        <v>131</v>
      </c>
      <c r="G4" s="13" t="s">
        <v>37</v>
      </c>
      <c r="H4" s="12" t="s">
        <v>381</v>
      </c>
      <c r="I4" s="11">
        <v>600</v>
      </c>
      <c r="J4" s="10"/>
      <c r="K4" s="9">
        <v>600</v>
      </c>
      <c r="L4" s="8">
        <f t="shared" si="0"/>
        <v>0</v>
      </c>
    </row>
    <row r="5" spans="1:12" ht="162" customHeight="1" thickBot="1" x14ac:dyDescent="0.3">
      <c r="A5" s="47"/>
      <c r="B5" s="13" t="s">
        <v>136</v>
      </c>
      <c r="C5" s="12" t="s">
        <v>235</v>
      </c>
      <c r="D5" s="12" t="s">
        <v>126</v>
      </c>
      <c r="E5" s="13" t="s">
        <v>236</v>
      </c>
      <c r="F5" s="22" t="s">
        <v>122</v>
      </c>
      <c r="G5" s="13" t="s">
        <v>0</v>
      </c>
      <c r="H5" s="12" t="s">
        <v>411</v>
      </c>
      <c r="I5" s="11">
        <v>2000</v>
      </c>
      <c r="J5" s="10">
        <v>1000</v>
      </c>
      <c r="K5" s="9">
        <v>1000</v>
      </c>
      <c r="L5" s="8">
        <f t="shared" si="0"/>
        <v>0</v>
      </c>
    </row>
    <row r="6" spans="1:12" ht="162" customHeight="1" thickBot="1" x14ac:dyDescent="0.3">
      <c r="A6" s="47"/>
      <c r="B6" s="13" t="s">
        <v>136</v>
      </c>
      <c r="C6" s="12" t="s">
        <v>235</v>
      </c>
      <c r="D6" s="12" t="s">
        <v>126</v>
      </c>
      <c r="E6" s="13" t="s">
        <v>385</v>
      </c>
      <c r="F6" s="22" t="s">
        <v>122</v>
      </c>
      <c r="G6" s="13" t="s">
        <v>0</v>
      </c>
      <c r="H6" s="12" t="s">
        <v>411</v>
      </c>
      <c r="I6" s="11">
        <v>1200</v>
      </c>
      <c r="J6" s="10"/>
      <c r="K6" s="9">
        <v>1200</v>
      </c>
      <c r="L6" s="8">
        <f t="shared" si="0"/>
        <v>0</v>
      </c>
    </row>
    <row r="7" spans="1:12" ht="162" customHeight="1" thickBot="1" x14ac:dyDescent="0.3">
      <c r="A7" s="47"/>
      <c r="B7" s="13" t="s">
        <v>136</v>
      </c>
      <c r="C7" s="12" t="s">
        <v>118</v>
      </c>
      <c r="D7" s="12" t="s">
        <v>126</v>
      </c>
      <c r="E7" s="13" t="s">
        <v>221</v>
      </c>
      <c r="F7" s="22" t="s">
        <v>122</v>
      </c>
      <c r="G7" s="13" t="s">
        <v>0</v>
      </c>
      <c r="H7" s="12" t="s">
        <v>411</v>
      </c>
      <c r="I7" s="11">
        <v>2000</v>
      </c>
      <c r="J7" s="10">
        <v>1000</v>
      </c>
      <c r="K7" s="9">
        <v>1000</v>
      </c>
      <c r="L7" s="8">
        <f t="shared" si="0"/>
        <v>0</v>
      </c>
    </row>
    <row r="8" spans="1:12" ht="162" customHeight="1" thickBot="1" x14ac:dyDescent="0.3">
      <c r="A8" s="47"/>
      <c r="B8" s="13" t="s">
        <v>136</v>
      </c>
      <c r="C8" s="12" t="s">
        <v>118</v>
      </c>
      <c r="D8" s="12" t="s">
        <v>126</v>
      </c>
      <c r="E8" s="13" t="s">
        <v>221</v>
      </c>
      <c r="F8" s="22" t="s">
        <v>122</v>
      </c>
      <c r="G8" s="13" t="s">
        <v>0</v>
      </c>
      <c r="H8" s="12" t="s">
        <v>411</v>
      </c>
      <c r="I8" s="11">
        <v>3000</v>
      </c>
      <c r="J8" s="10"/>
      <c r="K8" s="9">
        <v>3000</v>
      </c>
      <c r="L8" s="8">
        <f t="shared" si="0"/>
        <v>0</v>
      </c>
    </row>
    <row r="9" spans="1:12" ht="162" customHeight="1" thickBot="1" x14ac:dyDescent="0.3">
      <c r="A9" s="47"/>
      <c r="B9" s="13" t="s">
        <v>157</v>
      </c>
      <c r="C9" s="12" t="s">
        <v>26</v>
      </c>
      <c r="D9" s="12" t="s">
        <v>24</v>
      </c>
      <c r="E9" s="13" t="s">
        <v>59</v>
      </c>
      <c r="F9" s="22" t="s">
        <v>4</v>
      </c>
      <c r="G9" s="13" t="s">
        <v>0</v>
      </c>
      <c r="H9" s="12" t="s">
        <v>390</v>
      </c>
      <c r="I9" s="11">
        <v>800</v>
      </c>
      <c r="J9" s="10">
        <v>300</v>
      </c>
      <c r="K9" s="9">
        <v>500</v>
      </c>
      <c r="L9" s="8">
        <f t="shared" si="0"/>
        <v>0</v>
      </c>
    </row>
    <row r="10" spans="1:12" ht="162" customHeight="1" thickBot="1" x14ac:dyDescent="0.3">
      <c r="A10" s="47"/>
      <c r="B10" s="13" t="s">
        <v>325</v>
      </c>
      <c r="C10" s="12" t="s">
        <v>34</v>
      </c>
      <c r="D10" s="12" t="s">
        <v>24</v>
      </c>
      <c r="E10" s="13" t="s">
        <v>33</v>
      </c>
      <c r="F10" s="22" t="s">
        <v>4</v>
      </c>
      <c r="G10" s="13" t="s">
        <v>0</v>
      </c>
      <c r="H10" s="12" t="s">
        <v>390</v>
      </c>
      <c r="I10" s="11">
        <v>3000</v>
      </c>
      <c r="J10" s="10">
        <v>1000</v>
      </c>
      <c r="K10" s="9">
        <v>2000</v>
      </c>
      <c r="L10" s="8">
        <f t="shared" si="0"/>
        <v>0</v>
      </c>
    </row>
    <row r="11" spans="1:12" ht="162" customHeight="1" thickBot="1" x14ac:dyDescent="0.3">
      <c r="A11" s="47"/>
      <c r="B11" s="13" t="s">
        <v>325</v>
      </c>
      <c r="C11" s="12" t="s">
        <v>34</v>
      </c>
      <c r="D11" s="12" t="s">
        <v>24</v>
      </c>
      <c r="E11" s="13" t="s">
        <v>33</v>
      </c>
      <c r="F11" s="22" t="s">
        <v>4</v>
      </c>
      <c r="G11" s="13" t="s">
        <v>0</v>
      </c>
      <c r="H11" s="12" t="s">
        <v>390</v>
      </c>
      <c r="I11" s="11">
        <v>1000</v>
      </c>
      <c r="J11" s="10"/>
      <c r="K11" s="9">
        <v>1000</v>
      </c>
      <c r="L11" s="8">
        <f t="shared" si="0"/>
        <v>0</v>
      </c>
    </row>
    <row r="12" spans="1:12" ht="162" customHeight="1" thickBot="1" x14ac:dyDescent="0.3">
      <c r="A12" s="47"/>
      <c r="B12" s="13" t="s">
        <v>95</v>
      </c>
      <c r="C12" s="12" t="s">
        <v>15</v>
      </c>
      <c r="D12" s="12" t="s">
        <v>24</v>
      </c>
      <c r="E12" s="13" t="s">
        <v>96</v>
      </c>
      <c r="F12" s="22" t="s">
        <v>4</v>
      </c>
      <c r="G12" s="13" t="s">
        <v>0</v>
      </c>
      <c r="H12" s="12" t="s">
        <v>390</v>
      </c>
      <c r="I12" s="11">
        <v>4000</v>
      </c>
      <c r="J12" s="10">
        <v>2000</v>
      </c>
      <c r="K12" s="9">
        <v>2000</v>
      </c>
      <c r="L12" s="8">
        <f t="shared" si="0"/>
        <v>0</v>
      </c>
    </row>
    <row r="13" spans="1:12" ht="162" customHeight="1" thickBot="1" x14ac:dyDescent="0.3">
      <c r="A13" s="47"/>
      <c r="B13" s="13" t="s">
        <v>95</v>
      </c>
      <c r="C13" s="12" t="s">
        <v>15</v>
      </c>
      <c r="D13" s="12" t="s">
        <v>24</v>
      </c>
      <c r="E13" s="13" t="s">
        <v>96</v>
      </c>
      <c r="F13" s="22" t="s">
        <v>4</v>
      </c>
      <c r="G13" s="13" t="s">
        <v>0</v>
      </c>
      <c r="H13" s="12" t="s">
        <v>390</v>
      </c>
      <c r="I13" s="11">
        <v>1650</v>
      </c>
      <c r="J13" s="10"/>
      <c r="K13" s="9">
        <v>1650</v>
      </c>
      <c r="L13" s="8">
        <f t="shared" si="0"/>
        <v>0</v>
      </c>
    </row>
    <row r="14" spans="1:12" ht="162" customHeight="1" thickBot="1" x14ac:dyDescent="0.3">
      <c r="A14" s="47"/>
      <c r="B14" s="13" t="s">
        <v>77</v>
      </c>
      <c r="C14" s="12" t="s">
        <v>27</v>
      </c>
      <c r="D14" s="12" t="s">
        <v>24</v>
      </c>
      <c r="E14" s="13" t="s">
        <v>377</v>
      </c>
      <c r="F14" s="22" t="s">
        <v>9</v>
      </c>
      <c r="G14" s="13" t="s">
        <v>0</v>
      </c>
      <c r="H14" s="12" t="s">
        <v>411</v>
      </c>
      <c r="I14" s="11">
        <v>1000</v>
      </c>
      <c r="J14" s="10"/>
      <c r="K14" s="9">
        <v>1000</v>
      </c>
      <c r="L14" s="8">
        <f t="shared" si="0"/>
        <v>0</v>
      </c>
    </row>
    <row r="15" spans="1:12" ht="162" customHeight="1" thickBot="1" x14ac:dyDescent="0.3">
      <c r="A15" s="47"/>
      <c r="B15" s="13" t="s">
        <v>77</v>
      </c>
      <c r="C15" s="12" t="s">
        <v>27</v>
      </c>
      <c r="D15" s="12" t="s">
        <v>24</v>
      </c>
      <c r="E15" s="13" t="s">
        <v>377</v>
      </c>
      <c r="F15" s="22" t="s">
        <v>9</v>
      </c>
      <c r="G15" s="13" t="s">
        <v>0</v>
      </c>
      <c r="H15" s="12" t="s">
        <v>411</v>
      </c>
      <c r="I15" s="11">
        <v>2000</v>
      </c>
      <c r="J15" s="10"/>
      <c r="K15" s="9">
        <v>2000</v>
      </c>
      <c r="L15" s="8">
        <f t="shared" si="0"/>
        <v>0</v>
      </c>
    </row>
    <row r="16" spans="1:12" ht="162" customHeight="1" thickBot="1" x14ac:dyDescent="0.3">
      <c r="A16" s="47"/>
      <c r="B16" s="13" t="s">
        <v>77</v>
      </c>
      <c r="C16" s="12" t="s">
        <v>27</v>
      </c>
      <c r="D16" s="12" t="s">
        <v>24</v>
      </c>
      <c r="E16" s="13" t="s">
        <v>197</v>
      </c>
      <c r="F16" s="22" t="s">
        <v>4</v>
      </c>
      <c r="G16" s="13" t="s">
        <v>0</v>
      </c>
      <c r="H16" s="12" t="s">
        <v>390</v>
      </c>
      <c r="I16" s="11">
        <v>4177</v>
      </c>
      <c r="J16" s="10">
        <v>2500</v>
      </c>
      <c r="K16" s="9">
        <v>1677</v>
      </c>
      <c r="L16" s="8">
        <f t="shared" si="0"/>
        <v>0</v>
      </c>
    </row>
    <row r="17" spans="1:12" ht="162" customHeight="1" thickBot="1" x14ac:dyDescent="0.3">
      <c r="A17" s="47"/>
      <c r="B17" s="24" t="s">
        <v>371</v>
      </c>
      <c r="C17" s="12" t="s">
        <v>113</v>
      </c>
      <c r="D17" s="12" t="s">
        <v>24</v>
      </c>
      <c r="E17" s="13" t="s">
        <v>114</v>
      </c>
      <c r="F17" s="22" t="s">
        <v>4</v>
      </c>
      <c r="G17" s="13" t="s">
        <v>0</v>
      </c>
      <c r="H17" s="12" t="s">
        <v>390</v>
      </c>
      <c r="I17" s="11">
        <v>3000</v>
      </c>
      <c r="J17" s="10">
        <v>1000</v>
      </c>
      <c r="K17" s="9">
        <v>2000</v>
      </c>
      <c r="L17" s="8">
        <f t="shared" si="0"/>
        <v>0</v>
      </c>
    </row>
    <row r="18" spans="1:12" ht="162" customHeight="1" thickBot="1" x14ac:dyDescent="0.3">
      <c r="A18" s="47"/>
      <c r="B18" s="24" t="s">
        <v>371</v>
      </c>
      <c r="C18" s="12" t="s">
        <v>113</v>
      </c>
      <c r="D18" s="12" t="s">
        <v>24</v>
      </c>
      <c r="E18" s="13" t="s">
        <v>114</v>
      </c>
      <c r="F18" s="22" t="s">
        <v>4</v>
      </c>
      <c r="G18" s="13" t="s">
        <v>0</v>
      </c>
      <c r="H18" s="12" t="s">
        <v>411</v>
      </c>
      <c r="I18" s="11">
        <v>390</v>
      </c>
      <c r="J18" s="10"/>
      <c r="K18" s="9">
        <v>390</v>
      </c>
      <c r="L18" s="8">
        <f t="shared" si="0"/>
        <v>0</v>
      </c>
    </row>
    <row r="19" spans="1:12" ht="162" customHeight="1" thickBot="1" x14ac:dyDescent="0.3">
      <c r="A19" s="47"/>
      <c r="B19" s="24" t="s">
        <v>32</v>
      </c>
      <c r="C19" s="12" t="s">
        <v>31</v>
      </c>
      <c r="D19" s="12" t="s">
        <v>24</v>
      </c>
      <c r="E19" s="13" t="s">
        <v>97</v>
      </c>
      <c r="F19" s="22" t="s">
        <v>4</v>
      </c>
      <c r="G19" s="13" t="s">
        <v>0</v>
      </c>
      <c r="H19" s="12" t="s">
        <v>390</v>
      </c>
      <c r="I19" s="11">
        <v>410</v>
      </c>
      <c r="J19" s="10">
        <v>410</v>
      </c>
      <c r="K19" s="9"/>
      <c r="L19" s="8">
        <f t="shared" si="0"/>
        <v>0</v>
      </c>
    </row>
    <row r="20" spans="1:12" ht="162" customHeight="1" thickBot="1" x14ac:dyDescent="0.3">
      <c r="A20" s="47"/>
      <c r="B20" s="24" t="s">
        <v>32</v>
      </c>
      <c r="C20" s="12" t="s">
        <v>31</v>
      </c>
      <c r="D20" s="22" t="s">
        <v>24</v>
      </c>
      <c r="E20" s="13" t="s">
        <v>78</v>
      </c>
      <c r="F20" s="22" t="s">
        <v>4</v>
      </c>
      <c r="G20" s="13" t="s">
        <v>0</v>
      </c>
      <c r="H20" s="12" t="s">
        <v>390</v>
      </c>
      <c r="I20" s="11">
        <v>621</v>
      </c>
      <c r="J20" s="10"/>
      <c r="K20" s="9">
        <v>621</v>
      </c>
      <c r="L20" s="8">
        <f t="shared" si="0"/>
        <v>0</v>
      </c>
    </row>
    <row r="21" spans="1:12" ht="162" customHeight="1" thickBot="1" x14ac:dyDescent="0.3">
      <c r="A21" s="47"/>
      <c r="B21" s="24" t="s">
        <v>32</v>
      </c>
      <c r="C21" s="12" t="s">
        <v>31</v>
      </c>
      <c r="D21" s="22" t="s">
        <v>24</v>
      </c>
      <c r="E21" s="13" t="s">
        <v>71</v>
      </c>
      <c r="F21" s="22" t="s">
        <v>4</v>
      </c>
      <c r="G21" s="13" t="s">
        <v>0</v>
      </c>
      <c r="H21" s="12" t="s">
        <v>390</v>
      </c>
      <c r="I21" s="11">
        <v>3000</v>
      </c>
      <c r="J21" s="10"/>
      <c r="K21" s="9">
        <v>3000</v>
      </c>
      <c r="L21" s="8">
        <f t="shared" si="0"/>
        <v>0</v>
      </c>
    </row>
    <row r="22" spans="1:12" ht="162" customHeight="1" thickBot="1" x14ac:dyDescent="0.3">
      <c r="A22" s="47"/>
      <c r="B22" s="24" t="s">
        <v>32</v>
      </c>
      <c r="C22" s="12" t="s">
        <v>31</v>
      </c>
      <c r="D22" s="22" t="s">
        <v>24</v>
      </c>
      <c r="E22" s="13" t="s">
        <v>71</v>
      </c>
      <c r="F22" s="22" t="s">
        <v>4</v>
      </c>
      <c r="G22" s="13" t="s">
        <v>0</v>
      </c>
      <c r="H22" s="12" t="s">
        <v>390</v>
      </c>
      <c r="I22" s="11">
        <v>1000</v>
      </c>
      <c r="J22" s="10"/>
      <c r="K22" s="9">
        <v>1000</v>
      </c>
      <c r="L22" s="8">
        <f t="shared" si="0"/>
        <v>0</v>
      </c>
    </row>
    <row r="23" spans="1:12" ht="162" customHeight="1" thickBot="1" x14ac:dyDescent="0.3">
      <c r="A23" s="47"/>
      <c r="B23" s="24" t="s">
        <v>32</v>
      </c>
      <c r="C23" s="12" t="s">
        <v>31</v>
      </c>
      <c r="D23" s="22" t="s">
        <v>24</v>
      </c>
      <c r="E23" s="13" t="s">
        <v>116</v>
      </c>
      <c r="F23" s="22" t="s">
        <v>9</v>
      </c>
      <c r="G23" s="13" t="s">
        <v>0</v>
      </c>
      <c r="H23" s="12" t="s">
        <v>411</v>
      </c>
      <c r="I23" s="11">
        <v>2000</v>
      </c>
      <c r="J23" s="10"/>
      <c r="K23" s="9">
        <v>2000</v>
      </c>
      <c r="L23" s="8">
        <f t="shared" si="0"/>
        <v>0</v>
      </c>
    </row>
    <row r="24" spans="1:12" ht="162" customHeight="1" thickBot="1" x14ac:dyDescent="0.3">
      <c r="A24" s="47"/>
      <c r="B24" s="24" t="s">
        <v>32</v>
      </c>
      <c r="C24" s="12" t="s">
        <v>31</v>
      </c>
      <c r="D24" s="12" t="s">
        <v>24</v>
      </c>
      <c r="E24" s="13" t="s">
        <v>171</v>
      </c>
      <c r="F24" s="22" t="s">
        <v>4</v>
      </c>
      <c r="G24" s="13" t="s">
        <v>0</v>
      </c>
      <c r="H24" s="12" t="s">
        <v>390</v>
      </c>
      <c r="I24" s="11">
        <v>1000</v>
      </c>
      <c r="J24" s="10"/>
      <c r="K24" s="9">
        <v>1000</v>
      </c>
      <c r="L24" s="8">
        <f t="shared" si="0"/>
        <v>0</v>
      </c>
    </row>
    <row r="25" spans="1:12" ht="162" customHeight="1" thickBot="1" x14ac:dyDescent="0.3">
      <c r="A25" s="47"/>
      <c r="B25" s="24" t="s">
        <v>66</v>
      </c>
      <c r="C25" s="12" t="s">
        <v>155</v>
      </c>
      <c r="D25" s="12" t="s">
        <v>24</v>
      </c>
      <c r="E25" s="13" t="s">
        <v>156</v>
      </c>
      <c r="F25" s="22" t="s">
        <v>4</v>
      </c>
      <c r="G25" s="13" t="s">
        <v>0</v>
      </c>
      <c r="H25" s="12" t="s">
        <v>390</v>
      </c>
      <c r="I25" s="11">
        <v>4000</v>
      </c>
      <c r="J25" s="10">
        <v>2000</v>
      </c>
      <c r="K25" s="9">
        <v>2000</v>
      </c>
      <c r="L25" s="8">
        <f t="shared" si="0"/>
        <v>0</v>
      </c>
    </row>
    <row r="26" spans="1:12" ht="165.75" customHeight="1" thickBot="1" x14ac:dyDescent="0.3">
      <c r="A26" s="47"/>
      <c r="B26" s="24" t="s">
        <v>29</v>
      </c>
      <c r="C26" s="12" t="s">
        <v>85</v>
      </c>
      <c r="D26" s="12" t="s">
        <v>24</v>
      </c>
      <c r="E26" s="13" t="s">
        <v>87</v>
      </c>
      <c r="F26" s="22" t="s">
        <v>4</v>
      </c>
      <c r="G26" s="13" t="s">
        <v>37</v>
      </c>
      <c r="H26" s="12" t="s">
        <v>411</v>
      </c>
      <c r="I26" s="11">
        <v>736</v>
      </c>
      <c r="J26" s="10"/>
      <c r="K26" s="9">
        <v>736</v>
      </c>
      <c r="L26" s="8">
        <f t="shared" si="0"/>
        <v>0</v>
      </c>
    </row>
    <row r="27" spans="1:12" ht="165.75" customHeight="1" thickBot="1" x14ac:dyDescent="0.3">
      <c r="A27" s="47"/>
      <c r="B27" s="24" t="s">
        <v>29</v>
      </c>
      <c r="C27" s="12" t="s">
        <v>85</v>
      </c>
      <c r="D27" s="12" t="s">
        <v>24</v>
      </c>
      <c r="E27" s="13" t="s">
        <v>88</v>
      </c>
      <c r="F27" s="22" t="s">
        <v>4</v>
      </c>
      <c r="G27" s="13" t="s">
        <v>37</v>
      </c>
      <c r="H27" s="12" t="s">
        <v>411</v>
      </c>
      <c r="I27" s="11">
        <v>430</v>
      </c>
      <c r="J27" s="10"/>
      <c r="K27" s="9">
        <v>430</v>
      </c>
      <c r="L27" s="8">
        <f t="shared" si="0"/>
        <v>0</v>
      </c>
    </row>
    <row r="28" spans="1:12" ht="165.75" customHeight="1" thickBot="1" x14ac:dyDescent="0.3">
      <c r="A28" s="47"/>
      <c r="B28" s="24" t="s">
        <v>29</v>
      </c>
      <c r="C28" s="12" t="s">
        <v>85</v>
      </c>
      <c r="D28" s="12" t="s">
        <v>24</v>
      </c>
      <c r="E28" s="13" t="s">
        <v>418</v>
      </c>
      <c r="F28" s="22" t="s">
        <v>4</v>
      </c>
      <c r="G28" s="13" t="s">
        <v>37</v>
      </c>
      <c r="H28" s="12" t="s">
        <v>411</v>
      </c>
      <c r="I28" s="11">
        <v>166</v>
      </c>
      <c r="J28" s="10"/>
      <c r="K28" s="9">
        <v>166</v>
      </c>
      <c r="L28" s="8">
        <f t="shared" si="0"/>
        <v>0</v>
      </c>
    </row>
    <row r="29" spans="1:12" ht="165.75" customHeight="1" thickBot="1" x14ac:dyDescent="0.3">
      <c r="A29" s="47"/>
      <c r="B29" s="24" t="s">
        <v>29</v>
      </c>
      <c r="C29" s="12" t="s">
        <v>85</v>
      </c>
      <c r="D29" s="12" t="s">
        <v>24</v>
      </c>
      <c r="E29" s="13" t="s">
        <v>419</v>
      </c>
      <c r="F29" s="22" t="s">
        <v>4</v>
      </c>
      <c r="G29" s="13" t="s">
        <v>37</v>
      </c>
      <c r="H29" s="12" t="s">
        <v>411</v>
      </c>
      <c r="I29" s="11">
        <v>2</v>
      </c>
      <c r="J29" s="10"/>
      <c r="K29" s="9">
        <v>2</v>
      </c>
      <c r="L29" s="8">
        <f t="shared" si="0"/>
        <v>0</v>
      </c>
    </row>
    <row r="30" spans="1:12" ht="165.75" customHeight="1" thickBot="1" x14ac:dyDescent="0.3">
      <c r="A30" s="48"/>
      <c r="B30" s="24" t="s">
        <v>29</v>
      </c>
      <c r="C30" s="12" t="s">
        <v>85</v>
      </c>
      <c r="D30" s="12" t="s">
        <v>24</v>
      </c>
      <c r="E30" s="13" t="s">
        <v>92</v>
      </c>
      <c r="F30" s="22" t="s">
        <v>4</v>
      </c>
      <c r="G30" s="13" t="s">
        <v>37</v>
      </c>
      <c r="H30" s="12" t="s">
        <v>411</v>
      </c>
      <c r="I30" s="11">
        <v>229</v>
      </c>
      <c r="J30" s="10"/>
      <c r="K30" s="9">
        <v>229</v>
      </c>
      <c r="L30" s="8">
        <f t="shared" si="0"/>
        <v>0</v>
      </c>
    </row>
    <row r="31" spans="1:12" ht="165.75" customHeight="1" thickBot="1" x14ac:dyDescent="0.3">
      <c r="A31" s="46" t="s">
        <v>36</v>
      </c>
      <c r="B31" s="24" t="s">
        <v>99</v>
      </c>
      <c r="C31" s="12" t="s">
        <v>100</v>
      </c>
      <c r="D31" s="12" t="s">
        <v>24</v>
      </c>
      <c r="E31" s="13" t="s">
        <v>342</v>
      </c>
      <c r="F31" s="22" t="s">
        <v>102</v>
      </c>
      <c r="G31" s="13" t="s">
        <v>37</v>
      </c>
      <c r="H31" s="12" t="s">
        <v>390</v>
      </c>
      <c r="I31" s="11">
        <v>200</v>
      </c>
      <c r="J31" s="10"/>
      <c r="K31" s="9">
        <v>200</v>
      </c>
      <c r="L31" s="8">
        <f t="shared" si="0"/>
        <v>0</v>
      </c>
    </row>
    <row r="32" spans="1:12" ht="165.75" customHeight="1" thickBot="1" x14ac:dyDescent="0.3">
      <c r="A32" s="47"/>
      <c r="B32" s="24" t="s">
        <v>35</v>
      </c>
      <c r="C32" s="12" t="s">
        <v>155</v>
      </c>
      <c r="D32" s="12" t="s">
        <v>24</v>
      </c>
      <c r="E32" s="13" t="s">
        <v>156</v>
      </c>
      <c r="F32" s="22" t="s">
        <v>4</v>
      </c>
      <c r="G32" s="13" t="s">
        <v>0</v>
      </c>
      <c r="H32" s="12" t="s">
        <v>390</v>
      </c>
      <c r="I32" s="11">
        <v>3000</v>
      </c>
      <c r="J32" s="10">
        <v>1000</v>
      </c>
      <c r="K32" s="9">
        <v>2000</v>
      </c>
      <c r="L32" s="8">
        <f t="shared" si="0"/>
        <v>0</v>
      </c>
    </row>
    <row r="33" spans="1:12" ht="165.75" customHeight="1" thickBot="1" x14ac:dyDescent="0.3">
      <c r="A33" s="47"/>
      <c r="B33" s="24" t="s">
        <v>28</v>
      </c>
      <c r="C33" s="12" t="s">
        <v>34</v>
      </c>
      <c r="D33" s="12" t="s">
        <v>24</v>
      </c>
      <c r="E33" s="13" t="s">
        <v>33</v>
      </c>
      <c r="F33" s="22" t="s">
        <v>4</v>
      </c>
      <c r="G33" s="13" t="s">
        <v>0</v>
      </c>
      <c r="H33" s="12" t="s">
        <v>390</v>
      </c>
      <c r="I33" s="11">
        <v>3000</v>
      </c>
      <c r="J33" s="10">
        <v>1000</v>
      </c>
      <c r="K33" s="9">
        <v>2000</v>
      </c>
      <c r="L33" s="8">
        <f t="shared" si="0"/>
        <v>0</v>
      </c>
    </row>
    <row r="34" spans="1:12" ht="165.75" customHeight="1" thickBot="1" x14ac:dyDescent="0.3">
      <c r="A34" s="47"/>
      <c r="B34" s="24" t="s">
        <v>61</v>
      </c>
      <c r="C34" s="12" t="s">
        <v>31</v>
      </c>
      <c r="D34" s="12" t="s">
        <v>24</v>
      </c>
      <c r="E34" s="13" t="s">
        <v>71</v>
      </c>
      <c r="F34" s="22" t="s">
        <v>4</v>
      </c>
      <c r="G34" s="13" t="s">
        <v>0</v>
      </c>
      <c r="H34" s="12" t="s">
        <v>390</v>
      </c>
      <c r="I34" s="11">
        <v>1000</v>
      </c>
      <c r="J34" s="10"/>
      <c r="K34" s="9">
        <v>1000</v>
      </c>
      <c r="L34" s="8">
        <f t="shared" si="0"/>
        <v>0</v>
      </c>
    </row>
    <row r="35" spans="1:12" ht="165.75" customHeight="1" thickBot="1" x14ac:dyDescent="0.3">
      <c r="A35" s="47"/>
      <c r="B35" s="24" t="s">
        <v>61</v>
      </c>
      <c r="C35" s="12" t="s">
        <v>31</v>
      </c>
      <c r="D35" s="12" t="s">
        <v>24</v>
      </c>
      <c r="E35" s="13" t="s">
        <v>171</v>
      </c>
      <c r="F35" s="22" t="s">
        <v>4</v>
      </c>
      <c r="G35" s="13" t="s">
        <v>0</v>
      </c>
      <c r="H35" s="12" t="s">
        <v>390</v>
      </c>
      <c r="I35" s="11">
        <v>883</v>
      </c>
      <c r="J35" s="10"/>
      <c r="K35" s="9">
        <v>883</v>
      </c>
      <c r="L35" s="8">
        <f t="shared" si="0"/>
        <v>0</v>
      </c>
    </row>
    <row r="36" spans="1:12" ht="165.75" customHeight="1" thickBot="1" x14ac:dyDescent="0.3">
      <c r="A36" s="47"/>
      <c r="B36" s="24" t="s">
        <v>61</v>
      </c>
      <c r="C36" s="12" t="s">
        <v>31</v>
      </c>
      <c r="D36" s="12" t="s">
        <v>24</v>
      </c>
      <c r="E36" s="13" t="s">
        <v>97</v>
      </c>
      <c r="F36" s="22" t="s">
        <v>4</v>
      </c>
      <c r="G36" s="13" t="s">
        <v>0</v>
      </c>
      <c r="H36" s="12" t="s">
        <v>390</v>
      </c>
      <c r="I36" s="11">
        <v>410</v>
      </c>
      <c r="J36" s="10"/>
      <c r="K36" s="9">
        <v>410</v>
      </c>
      <c r="L36" s="8">
        <f t="shared" si="0"/>
        <v>0</v>
      </c>
    </row>
    <row r="37" spans="1:12" ht="165.75" customHeight="1" thickBot="1" x14ac:dyDescent="0.3">
      <c r="A37" s="47"/>
      <c r="B37" s="24" t="s">
        <v>61</v>
      </c>
      <c r="C37" s="12" t="s">
        <v>31</v>
      </c>
      <c r="D37" s="12" t="s">
        <v>24</v>
      </c>
      <c r="E37" s="13" t="s">
        <v>78</v>
      </c>
      <c r="F37" s="22" t="s">
        <v>4</v>
      </c>
      <c r="G37" s="13" t="s">
        <v>0</v>
      </c>
      <c r="H37" s="12" t="s">
        <v>390</v>
      </c>
      <c r="I37" s="11">
        <v>621</v>
      </c>
      <c r="J37" s="10"/>
      <c r="K37" s="9">
        <v>621</v>
      </c>
      <c r="L37" s="8">
        <f t="shared" si="0"/>
        <v>0</v>
      </c>
    </row>
    <row r="38" spans="1:12" ht="165.75" customHeight="1" thickBot="1" x14ac:dyDescent="0.3">
      <c r="A38" s="47"/>
      <c r="B38" s="24" t="s">
        <v>61</v>
      </c>
      <c r="C38" s="12" t="s">
        <v>31</v>
      </c>
      <c r="D38" s="12" t="s">
        <v>24</v>
      </c>
      <c r="E38" s="13" t="s">
        <v>71</v>
      </c>
      <c r="F38" s="22" t="s">
        <v>4</v>
      </c>
      <c r="G38" s="13" t="s">
        <v>0</v>
      </c>
      <c r="H38" s="12" t="s">
        <v>390</v>
      </c>
      <c r="I38" s="11">
        <v>2000</v>
      </c>
      <c r="J38" s="10"/>
      <c r="K38" s="9">
        <v>2000</v>
      </c>
      <c r="L38" s="8">
        <f t="shared" si="0"/>
        <v>0</v>
      </c>
    </row>
    <row r="39" spans="1:12" ht="165.75" customHeight="1" thickBot="1" x14ac:dyDescent="0.3">
      <c r="A39" s="47"/>
      <c r="B39" s="24" t="s">
        <v>32</v>
      </c>
      <c r="C39" s="12" t="s">
        <v>31</v>
      </c>
      <c r="D39" s="12" t="s">
        <v>24</v>
      </c>
      <c r="E39" s="13" t="s">
        <v>116</v>
      </c>
      <c r="F39" s="22" t="s">
        <v>9</v>
      </c>
      <c r="G39" s="13" t="s">
        <v>0</v>
      </c>
      <c r="H39" s="12" t="s">
        <v>411</v>
      </c>
      <c r="I39" s="11">
        <v>2000</v>
      </c>
      <c r="J39" s="10"/>
      <c r="K39" s="9">
        <v>2000</v>
      </c>
      <c r="L39" s="8">
        <f t="shared" si="0"/>
        <v>0</v>
      </c>
    </row>
    <row r="40" spans="1:12" ht="165.75" customHeight="1" thickBot="1" x14ac:dyDescent="0.3">
      <c r="A40" s="47"/>
      <c r="B40" s="24" t="s">
        <v>32</v>
      </c>
      <c r="C40" s="12" t="s">
        <v>31</v>
      </c>
      <c r="D40" s="12" t="s">
        <v>24</v>
      </c>
      <c r="E40" s="13" t="s">
        <v>71</v>
      </c>
      <c r="F40" s="22" t="s">
        <v>4</v>
      </c>
      <c r="G40" s="13" t="s">
        <v>0</v>
      </c>
      <c r="H40" s="12" t="s">
        <v>390</v>
      </c>
      <c r="I40" s="11">
        <v>1000</v>
      </c>
      <c r="J40" s="10"/>
      <c r="K40" s="9">
        <v>1000</v>
      </c>
      <c r="L40" s="8">
        <f t="shared" si="0"/>
        <v>0</v>
      </c>
    </row>
    <row r="41" spans="1:12" ht="165.75" customHeight="1" thickBot="1" x14ac:dyDescent="0.3">
      <c r="A41" s="47"/>
      <c r="B41" s="24" t="s">
        <v>32</v>
      </c>
      <c r="C41" s="12" t="s">
        <v>31</v>
      </c>
      <c r="D41" s="12" t="s">
        <v>24</v>
      </c>
      <c r="E41" s="13" t="s">
        <v>171</v>
      </c>
      <c r="F41" s="22" t="s">
        <v>4</v>
      </c>
      <c r="G41" s="13" t="s">
        <v>0</v>
      </c>
      <c r="H41" s="12" t="s">
        <v>390</v>
      </c>
      <c r="I41" s="11">
        <v>1000</v>
      </c>
      <c r="J41" s="10"/>
      <c r="K41" s="9">
        <v>1000</v>
      </c>
      <c r="L41" s="8">
        <f t="shared" si="0"/>
        <v>0</v>
      </c>
    </row>
    <row r="42" spans="1:12" ht="165.75" customHeight="1" thickBot="1" x14ac:dyDescent="0.3">
      <c r="A42" s="47"/>
      <c r="B42" s="24" t="s">
        <v>325</v>
      </c>
      <c r="C42" s="12" t="s">
        <v>393</v>
      </c>
      <c r="D42" s="12" t="s">
        <v>24</v>
      </c>
      <c r="E42" s="13" t="s">
        <v>394</v>
      </c>
      <c r="F42" s="22" t="s">
        <v>4</v>
      </c>
      <c r="G42" s="13" t="s">
        <v>37</v>
      </c>
      <c r="H42" s="12" t="s">
        <v>390</v>
      </c>
      <c r="I42" s="11">
        <v>1090</v>
      </c>
      <c r="J42" s="10"/>
      <c r="K42" s="9">
        <v>1090</v>
      </c>
      <c r="L42" s="8">
        <f t="shared" si="0"/>
        <v>0</v>
      </c>
    </row>
    <row r="43" spans="1:12" ht="165.75" customHeight="1" thickBot="1" x14ac:dyDescent="0.3">
      <c r="A43" s="47"/>
      <c r="B43" s="24" t="s">
        <v>325</v>
      </c>
      <c r="C43" s="12" t="s">
        <v>73</v>
      </c>
      <c r="D43" s="12" t="s">
        <v>24</v>
      </c>
      <c r="E43" s="13" t="s">
        <v>395</v>
      </c>
      <c r="F43" s="22" t="s">
        <v>4</v>
      </c>
      <c r="G43" s="13" t="s">
        <v>37</v>
      </c>
      <c r="H43" s="12" t="s">
        <v>390</v>
      </c>
      <c r="I43" s="11">
        <v>110</v>
      </c>
      <c r="J43" s="10"/>
      <c r="K43" s="9">
        <v>110</v>
      </c>
      <c r="L43" s="8">
        <f t="shared" si="0"/>
        <v>0</v>
      </c>
    </row>
    <row r="44" spans="1:12" ht="165.75" customHeight="1" thickBot="1" x14ac:dyDescent="0.3">
      <c r="A44" s="47"/>
      <c r="B44" s="24" t="s">
        <v>325</v>
      </c>
      <c r="C44" s="12" t="s">
        <v>85</v>
      </c>
      <c r="D44" s="12" t="s">
        <v>24</v>
      </c>
      <c r="E44" s="13" t="s">
        <v>396</v>
      </c>
      <c r="F44" s="22" t="s">
        <v>4</v>
      </c>
      <c r="G44" s="13" t="s">
        <v>37</v>
      </c>
      <c r="H44" s="12" t="s">
        <v>390</v>
      </c>
      <c r="I44" s="11">
        <v>300</v>
      </c>
      <c r="J44" s="10"/>
      <c r="K44" s="9">
        <v>300</v>
      </c>
      <c r="L44" s="8">
        <f t="shared" si="0"/>
        <v>0</v>
      </c>
    </row>
    <row r="45" spans="1:12" ht="165.75" customHeight="1" thickBot="1" x14ac:dyDescent="0.3">
      <c r="A45" s="47"/>
      <c r="B45" s="24" t="s">
        <v>40</v>
      </c>
      <c r="C45" s="12" t="s">
        <v>27</v>
      </c>
      <c r="D45" s="12" t="s">
        <v>24</v>
      </c>
      <c r="E45" s="13" t="s">
        <v>197</v>
      </c>
      <c r="F45" s="22" t="s">
        <v>4</v>
      </c>
      <c r="G45" s="13" t="s">
        <v>0</v>
      </c>
      <c r="H45" s="12" t="s">
        <v>390</v>
      </c>
      <c r="I45" s="11">
        <v>1000</v>
      </c>
      <c r="J45" s="10"/>
      <c r="K45" s="9">
        <v>1000</v>
      </c>
      <c r="L45" s="8">
        <f t="shared" si="0"/>
        <v>0</v>
      </c>
    </row>
    <row r="46" spans="1:12" ht="165.75" customHeight="1" thickBot="1" x14ac:dyDescent="0.3">
      <c r="A46" s="47"/>
      <c r="B46" s="24" t="s">
        <v>40</v>
      </c>
      <c r="C46" s="12" t="s">
        <v>27</v>
      </c>
      <c r="D46" s="12" t="s">
        <v>24</v>
      </c>
      <c r="E46" s="13" t="s">
        <v>197</v>
      </c>
      <c r="F46" s="22" t="s">
        <v>4</v>
      </c>
      <c r="G46" s="13" t="s">
        <v>0</v>
      </c>
      <c r="H46" s="12" t="s">
        <v>390</v>
      </c>
      <c r="I46" s="11">
        <v>2000</v>
      </c>
      <c r="J46" s="10"/>
      <c r="K46" s="9">
        <v>2000</v>
      </c>
      <c r="L46" s="8">
        <f t="shared" si="0"/>
        <v>0</v>
      </c>
    </row>
    <row r="47" spans="1:12" ht="165.75" customHeight="1" thickBot="1" x14ac:dyDescent="0.3">
      <c r="A47" s="47"/>
      <c r="B47" s="24" t="s">
        <v>284</v>
      </c>
      <c r="C47" s="12" t="s">
        <v>113</v>
      </c>
      <c r="D47" s="12" t="s">
        <v>24</v>
      </c>
      <c r="E47" s="13" t="s">
        <v>114</v>
      </c>
      <c r="F47" s="22" t="s">
        <v>4</v>
      </c>
      <c r="G47" s="13" t="s">
        <v>0</v>
      </c>
      <c r="H47" s="12" t="s">
        <v>390</v>
      </c>
      <c r="I47" s="11">
        <v>3000</v>
      </c>
      <c r="J47" s="10"/>
      <c r="K47" s="9">
        <v>3000</v>
      </c>
      <c r="L47" s="8">
        <f t="shared" si="0"/>
        <v>0</v>
      </c>
    </row>
    <row r="48" spans="1:12" ht="165.75" customHeight="1" thickBot="1" x14ac:dyDescent="0.3">
      <c r="A48" s="47"/>
      <c r="B48" s="24" t="s">
        <v>284</v>
      </c>
      <c r="C48" s="12" t="s">
        <v>113</v>
      </c>
      <c r="D48" s="12" t="s">
        <v>24</v>
      </c>
      <c r="E48" s="13" t="s">
        <v>114</v>
      </c>
      <c r="F48" s="22" t="s">
        <v>4</v>
      </c>
      <c r="G48" s="13" t="s">
        <v>0</v>
      </c>
      <c r="H48" s="12" t="s">
        <v>411</v>
      </c>
      <c r="I48" s="11">
        <v>390</v>
      </c>
      <c r="J48" s="10"/>
      <c r="K48" s="9">
        <v>390</v>
      </c>
      <c r="L48" s="8">
        <f t="shared" si="0"/>
        <v>0</v>
      </c>
    </row>
    <row r="49" spans="1:12" ht="165.75" customHeight="1" thickBot="1" x14ac:dyDescent="0.3">
      <c r="A49" s="47"/>
      <c r="B49" s="24" t="s">
        <v>95</v>
      </c>
      <c r="C49" s="12" t="s">
        <v>15</v>
      </c>
      <c r="D49" s="12" t="s">
        <v>24</v>
      </c>
      <c r="E49" s="13" t="s">
        <v>96</v>
      </c>
      <c r="F49" s="22" t="s">
        <v>4</v>
      </c>
      <c r="G49" s="13" t="s">
        <v>0</v>
      </c>
      <c r="H49" s="12" t="s">
        <v>390</v>
      </c>
      <c r="I49" s="11">
        <v>3000</v>
      </c>
      <c r="J49" s="10">
        <v>1000</v>
      </c>
      <c r="K49" s="9">
        <v>2000</v>
      </c>
      <c r="L49" s="8">
        <f t="shared" si="0"/>
        <v>0</v>
      </c>
    </row>
    <row r="50" spans="1:12" ht="165.75" customHeight="1" thickBot="1" x14ac:dyDescent="0.3">
      <c r="A50" s="47"/>
      <c r="B50" s="24" t="s">
        <v>95</v>
      </c>
      <c r="C50" s="12" t="s">
        <v>15</v>
      </c>
      <c r="D50" s="12" t="s">
        <v>24</v>
      </c>
      <c r="E50" s="13" t="s">
        <v>96</v>
      </c>
      <c r="F50" s="22" t="s">
        <v>4</v>
      </c>
      <c r="G50" s="13" t="s">
        <v>0</v>
      </c>
      <c r="H50" s="12" t="s">
        <v>390</v>
      </c>
      <c r="I50" s="11">
        <v>1000</v>
      </c>
      <c r="J50" s="10"/>
      <c r="K50" s="9">
        <v>1000</v>
      </c>
      <c r="L50" s="8">
        <f t="shared" si="0"/>
        <v>0</v>
      </c>
    </row>
    <row r="51" spans="1:12" ht="165.75" customHeight="1" thickBot="1" x14ac:dyDescent="0.3">
      <c r="A51" s="48"/>
      <c r="B51" s="24" t="s">
        <v>38</v>
      </c>
      <c r="C51" s="12" t="s">
        <v>27</v>
      </c>
      <c r="D51" s="12" t="s">
        <v>24</v>
      </c>
      <c r="E51" s="13" t="s">
        <v>377</v>
      </c>
      <c r="F51" s="22" t="s">
        <v>9</v>
      </c>
      <c r="G51" s="13" t="s">
        <v>0</v>
      </c>
      <c r="H51" s="12" t="s">
        <v>411</v>
      </c>
      <c r="I51" s="11">
        <v>2000</v>
      </c>
      <c r="J51" s="10"/>
      <c r="K51" s="9">
        <v>2000</v>
      </c>
      <c r="L51" s="8">
        <f t="shared" si="0"/>
        <v>0</v>
      </c>
    </row>
    <row r="52" spans="1:12" ht="165.75" customHeight="1" thickBot="1" x14ac:dyDescent="0.3">
      <c r="A52" s="46" t="s">
        <v>23</v>
      </c>
      <c r="B52" s="24" t="s">
        <v>12</v>
      </c>
      <c r="C52" s="12" t="s">
        <v>6</v>
      </c>
      <c r="D52" s="12" t="s">
        <v>20</v>
      </c>
      <c r="E52" s="13" t="s">
        <v>22</v>
      </c>
      <c r="F52" s="22" t="s">
        <v>4</v>
      </c>
      <c r="G52" s="13" t="s">
        <v>0</v>
      </c>
      <c r="H52" s="12" t="s">
        <v>414</v>
      </c>
      <c r="I52" s="11">
        <v>5000</v>
      </c>
      <c r="J52" s="10"/>
      <c r="K52" s="9">
        <v>5000</v>
      </c>
      <c r="L52" s="8">
        <f t="shared" si="0"/>
        <v>0</v>
      </c>
    </row>
    <row r="53" spans="1:12" ht="165.75" customHeight="1" thickBot="1" x14ac:dyDescent="0.3">
      <c r="A53" s="47"/>
      <c r="B53" s="24" t="s">
        <v>12</v>
      </c>
      <c r="C53" s="12" t="s">
        <v>6</v>
      </c>
      <c r="D53" s="12" t="s">
        <v>20</v>
      </c>
      <c r="E53" s="13" t="s">
        <v>22</v>
      </c>
      <c r="F53" s="22" t="s">
        <v>4</v>
      </c>
      <c r="G53" s="13" t="s">
        <v>0</v>
      </c>
      <c r="H53" s="12" t="s">
        <v>414</v>
      </c>
      <c r="I53" s="11">
        <v>8000</v>
      </c>
      <c r="J53" s="10">
        <v>1000</v>
      </c>
      <c r="K53" s="9">
        <v>7000</v>
      </c>
      <c r="L53" s="8">
        <f t="shared" si="0"/>
        <v>0</v>
      </c>
    </row>
    <row r="54" spans="1:12" ht="165.75" customHeight="1" thickBot="1" x14ac:dyDescent="0.3">
      <c r="A54" s="47"/>
      <c r="B54" s="24" t="s">
        <v>21</v>
      </c>
      <c r="C54" s="12" t="s">
        <v>118</v>
      </c>
      <c r="D54" s="12" t="s">
        <v>20</v>
      </c>
      <c r="E54" s="13" t="s">
        <v>222</v>
      </c>
      <c r="F54" s="22" t="s">
        <v>4</v>
      </c>
      <c r="G54" s="13" t="s">
        <v>0</v>
      </c>
      <c r="H54" s="12" t="s">
        <v>390</v>
      </c>
      <c r="I54" s="11">
        <v>180</v>
      </c>
      <c r="J54" s="10"/>
      <c r="K54" s="9">
        <v>180</v>
      </c>
      <c r="L54" s="8">
        <f t="shared" si="0"/>
        <v>0</v>
      </c>
    </row>
    <row r="55" spans="1:12" ht="165.75" customHeight="1" thickBot="1" x14ac:dyDescent="0.3">
      <c r="A55" s="47"/>
      <c r="B55" s="24" t="s">
        <v>21</v>
      </c>
      <c r="C55" s="12" t="s">
        <v>3</v>
      </c>
      <c r="D55" s="12" t="s">
        <v>20</v>
      </c>
      <c r="E55" s="13" t="s">
        <v>56</v>
      </c>
      <c r="F55" s="22" t="s">
        <v>9</v>
      </c>
      <c r="G55" s="13" t="s">
        <v>0</v>
      </c>
      <c r="H55" s="12" t="s">
        <v>390</v>
      </c>
      <c r="I55" s="11">
        <v>3000</v>
      </c>
      <c r="J55" s="10"/>
      <c r="K55" s="9">
        <v>3000</v>
      </c>
      <c r="L55" s="8">
        <f t="shared" si="0"/>
        <v>0</v>
      </c>
    </row>
    <row r="56" spans="1:12" ht="165.75" customHeight="1" thickBot="1" x14ac:dyDescent="0.3">
      <c r="A56" s="48"/>
      <c r="B56" s="24" t="s">
        <v>21</v>
      </c>
      <c r="C56" s="12" t="s">
        <v>3</v>
      </c>
      <c r="D56" s="12" t="s">
        <v>20</v>
      </c>
      <c r="E56" s="13" t="s">
        <v>56</v>
      </c>
      <c r="F56" s="22" t="s">
        <v>9</v>
      </c>
      <c r="G56" s="13" t="s">
        <v>0</v>
      </c>
      <c r="H56" s="12" t="s">
        <v>390</v>
      </c>
      <c r="I56" s="11">
        <v>15000</v>
      </c>
      <c r="J56" s="10"/>
      <c r="K56" s="9">
        <v>15000</v>
      </c>
      <c r="L56" s="8">
        <f t="shared" si="0"/>
        <v>0</v>
      </c>
    </row>
    <row r="57" spans="1:12" ht="165.75" customHeight="1" thickBot="1" x14ac:dyDescent="0.3">
      <c r="A57" s="46" t="s">
        <v>54</v>
      </c>
      <c r="B57" s="24" t="s">
        <v>67</v>
      </c>
      <c r="C57" s="12" t="s">
        <v>163</v>
      </c>
      <c r="D57" s="12" t="s">
        <v>60</v>
      </c>
      <c r="E57" s="13" t="s">
        <v>165</v>
      </c>
      <c r="F57" s="22" t="s">
        <v>102</v>
      </c>
      <c r="G57" s="13" t="s">
        <v>37</v>
      </c>
      <c r="H57" s="12" t="s">
        <v>381</v>
      </c>
      <c r="I57" s="11">
        <v>122</v>
      </c>
      <c r="J57" s="10">
        <v>122</v>
      </c>
      <c r="K57" s="9"/>
      <c r="L57" s="8">
        <f t="shared" si="0"/>
        <v>0</v>
      </c>
    </row>
    <row r="58" spans="1:12" ht="165.75" customHeight="1" thickBot="1" x14ac:dyDescent="0.3">
      <c r="A58" s="47"/>
      <c r="B58" s="24" t="s">
        <v>67</v>
      </c>
      <c r="C58" s="12" t="s">
        <v>163</v>
      </c>
      <c r="D58" s="12" t="s">
        <v>60</v>
      </c>
      <c r="E58" s="13" t="s">
        <v>166</v>
      </c>
      <c r="F58" s="22" t="s">
        <v>102</v>
      </c>
      <c r="G58" s="13" t="s">
        <v>37</v>
      </c>
      <c r="H58" s="12" t="s">
        <v>381</v>
      </c>
      <c r="I58" s="11">
        <v>214</v>
      </c>
      <c r="J58" s="10"/>
      <c r="K58" s="9">
        <v>214</v>
      </c>
      <c r="L58" s="8">
        <f t="shared" si="0"/>
        <v>0</v>
      </c>
    </row>
    <row r="59" spans="1:12" ht="165.75" customHeight="1" thickBot="1" x14ac:dyDescent="0.3">
      <c r="A59" s="48"/>
      <c r="B59" s="24" t="s">
        <v>67</v>
      </c>
      <c r="C59" s="12" t="s">
        <v>68</v>
      </c>
      <c r="D59" s="12" t="s">
        <v>60</v>
      </c>
      <c r="E59" s="13" t="s">
        <v>160</v>
      </c>
      <c r="F59" s="22" t="s">
        <v>102</v>
      </c>
      <c r="G59" s="13" t="s">
        <v>37</v>
      </c>
      <c r="H59" s="12" t="s">
        <v>381</v>
      </c>
      <c r="I59" s="11">
        <v>600</v>
      </c>
      <c r="J59" s="10"/>
      <c r="K59" s="9">
        <v>600</v>
      </c>
      <c r="L59" s="8">
        <f t="shared" si="0"/>
        <v>0</v>
      </c>
    </row>
    <row r="60" spans="1:12" ht="165.75" customHeight="1" thickBot="1" x14ac:dyDescent="0.3">
      <c r="A60" s="46" t="s">
        <v>19</v>
      </c>
      <c r="B60" s="24" t="s">
        <v>18</v>
      </c>
      <c r="C60" s="12" t="s">
        <v>17</v>
      </c>
      <c r="D60" s="12" t="s">
        <v>14</v>
      </c>
      <c r="E60" s="13" t="s">
        <v>16</v>
      </c>
      <c r="F60" s="22" t="s">
        <v>4</v>
      </c>
      <c r="G60" s="13" t="s">
        <v>0</v>
      </c>
      <c r="H60" s="12" t="s">
        <v>390</v>
      </c>
      <c r="I60" s="11">
        <v>250</v>
      </c>
      <c r="J60" s="10"/>
      <c r="K60" s="9">
        <v>250</v>
      </c>
      <c r="L60" s="8">
        <f t="shared" si="0"/>
        <v>0</v>
      </c>
    </row>
    <row r="61" spans="1:12" ht="165.75" customHeight="1" thickBot="1" x14ac:dyDescent="0.3">
      <c r="A61" s="47"/>
      <c r="B61" s="24" t="s">
        <v>7</v>
      </c>
      <c r="C61" s="12" t="s">
        <v>17</v>
      </c>
      <c r="D61" s="12" t="s">
        <v>120</v>
      </c>
      <c r="E61" s="13" t="s">
        <v>121</v>
      </c>
      <c r="F61" s="22" t="s">
        <v>122</v>
      </c>
      <c r="G61" s="13" t="s">
        <v>0</v>
      </c>
      <c r="H61" s="12" t="s">
        <v>411</v>
      </c>
      <c r="I61" s="11">
        <v>6000</v>
      </c>
      <c r="J61" s="10"/>
      <c r="K61" s="9">
        <v>6000</v>
      </c>
      <c r="L61" s="8">
        <f t="shared" si="0"/>
        <v>0</v>
      </c>
    </row>
    <row r="62" spans="1:12" ht="165.75" customHeight="1" thickBot="1" x14ac:dyDescent="0.3">
      <c r="A62" s="47"/>
      <c r="B62" s="24" t="s">
        <v>7</v>
      </c>
      <c r="C62" s="12" t="s">
        <v>15</v>
      </c>
      <c r="D62" s="12" t="s">
        <v>14</v>
      </c>
      <c r="E62" s="13" t="s">
        <v>58</v>
      </c>
      <c r="F62" s="22" t="s">
        <v>4</v>
      </c>
      <c r="G62" s="13" t="s">
        <v>0</v>
      </c>
      <c r="H62" s="12" t="s">
        <v>390</v>
      </c>
      <c r="I62" s="11">
        <v>1500</v>
      </c>
      <c r="J62" s="10"/>
      <c r="K62" s="9">
        <v>1500</v>
      </c>
      <c r="L62" s="8">
        <f t="shared" si="0"/>
        <v>0</v>
      </c>
    </row>
    <row r="63" spans="1:12" ht="165.75" customHeight="1" thickBot="1" x14ac:dyDescent="0.3">
      <c r="A63" s="47"/>
      <c r="B63" s="24" t="s">
        <v>7</v>
      </c>
      <c r="C63" s="12" t="s">
        <v>15</v>
      </c>
      <c r="D63" s="12" t="s">
        <v>14</v>
      </c>
      <c r="E63" s="13" t="s">
        <v>13</v>
      </c>
      <c r="F63" s="22" t="s">
        <v>4</v>
      </c>
      <c r="G63" s="13" t="s">
        <v>0</v>
      </c>
      <c r="H63" s="12" t="s">
        <v>390</v>
      </c>
      <c r="I63" s="11">
        <v>2000</v>
      </c>
      <c r="J63" s="10"/>
      <c r="K63" s="9">
        <v>2000</v>
      </c>
      <c r="L63" s="8">
        <f t="shared" si="0"/>
        <v>0</v>
      </c>
    </row>
    <row r="64" spans="1:12" ht="165.75" customHeight="1" thickBot="1" x14ac:dyDescent="0.3">
      <c r="A64" s="47"/>
      <c r="B64" s="24" t="s">
        <v>7</v>
      </c>
      <c r="C64" s="12" t="s">
        <v>15</v>
      </c>
      <c r="D64" s="12" t="s">
        <v>14</v>
      </c>
      <c r="E64" s="13" t="s">
        <v>58</v>
      </c>
      <c r="F64" s="22" t="s">
        <v>4</v>
      </c>
      <c r="G64" s="13" t="s">
        <v>0</v>
      </c>
      <c r="H64" s="12" t="s">
        <v>390</v>
      </c>
      <c r="I64" s="11">
        <v>2500</v>
      </c>
      <c r="J64" s="10">
        <v>1000</v>
      </c>
      <c r="K64" s="9">
        <v>1500</v>
      </c>
      <c r="L64" s="8">
        <f t="shared" si="0"/>
        <v>0</v>
      </c>
    </row>
    <row r="65" spans="1:12" ht="165.75" customHeight="1" thickBot="1" x14ac:dyDescent="0.3">
      <c r="A65" s="47"/>
      <c r="B65" s="24" t="s">
        <v>7</v>
      </c>
      <c r="C65" s="12" t="s">
        <v>15</v>
      </c>
      <c r="D65" s="12" t="s">
        <v>14</v>
      </c>
      <c r="E65" s="13" t="s">
        <v>13</v>
      </c>
      <c r="F65" s="22" t="s">
        <v>4</v>
      </c>
      <c r="G65" s="13" t="s">
        <v>0</v>
      </c>
      <c r="H65" s="12" t="s">
        <v>390</v>
      </c>
      <c r="I65" s="11">
        <v>2500</v>
      </c>
      <c r="J65" s="10"/>
      <c r="K65" s="9">
        <v>2500</v>
      </c>
      <c r="L65" s="8">
        <f t="shared" si="0"/>
        <v>0</v>
      </c>
    </row>
    <row r="66" spans="1:12" ht="165.75" customHeight="1" thickBot="1" x14ac:dyDescent="0.3">
      <c r="A66" s="47"/>
      <c r="B66" s="24" t="s">
        <v>12</v>
      </c>
      <c r="C66" s="12" t="s">
        <v>118</v>
      </c>
      <c r="D66" s="12" t="s">
        <v>123</v>
      </c>
      <c r="E66" s="13" t="s">
        <v>124</v>
      </c>
      <c r="F66" s="22" t="s">
        <v>4</v>
      </c>
      <c r="G66" s="13" t="s">
        <v>0</v>
      </c>
      <c r="H66" s="12" t="s">
        <v>390</v>
      </c>
      <c r="I66" s="11">
        <v>100</v>
      </c>
      <c r="J66" s="10"/>
      <c r="K66" s="9">
        <v>100</v>
      </c>
      <c r="L66" s="8">
        <f t="shared" si="0"/>
        <v>0</v>
      </c>
    </row>
    <row r="67" spans="1:12" ht="165.75" customHeight="1" thickBot="1" x14ac:dyDescent="0.3">
      <c r="A67" s="47"/>
      <c r="B67" s="24" t="s">
        <v>12</v>
      </c>
      <c r="C67" s="12" t="s">
        <v>118</v>
      </c>
      <c r="D67" s="12" t="s">
        <v>123</v>
      </c>
      <c r="E67" s="13" t="s">
        <v>124</v>
      </c>
      <c r="F67" s="22" t="s">
        <v>9</v>
      </c>
      <c r="G67" s="13" t="s">
        <v>0</v>
      </c>
      <c r="H67" s="12" t="s">
        <v>411</v>
      </c>
      <c r="I67" s="11">
        <v>1500</v>
      </c>
      <c r="J67" s="10">
        <v>1000</v>
      </c>
      <c r="K67" s="9">
        <v>500</v>
      </c>
      <c r="L67" s="8">
        <f t="shared" ref="L67:L74" si="1">K67+J67-I67</f>
        <v>0</v>
      </c>
    </row>
    <row r="68" spans="1:12" ht="165.75" customHeight="1" thickBot="1" x14ac:dyDescent="0.3">
      <c r="A68" s="47"/>
      <c r="B68" s="24" t="s">
        <v>12</v>
      </c>
      <c r="C68" s="12" t="s">
        <v>3</v>
      </c>
      <c r="D68" s="12" t="s">
        <v>11</v>
      </c>
      <c r="E68" s="13" t="s">
        <v>10</v>
      </c>
      <c r="F68" s="22" t="s">
        <v>4</v>
      </c>
      <c r="G68" s="13" t="s">
        <v>0</v>
      </c>
      <c r="H68" s="12" t="s">
        <v>381</v>
      </c>
      <c r="I68" s="11">
        <v>5000</v>
      </c>
      <c r="J68" s="10"/>
      <c r="K68" s="9">
        <v>5000</v>
      </c>
      <c r="L68" s="8">
        <f t="shared" si="1"/>
        <v>0</v>
      </c>
    </row>
    <row r="69" spans="1:12" ht="165.75" customHeight="1" thickBot="1" x14ac:dyDescent="0.3">
      <c r="A69" s="47"/>
      <c r="B69" s="24" t="s">
        <v>12</v>
      </c>
      <c r="C69" s="12" t="s">
        <v>3</v>
      </c>
      <c r="D69" s="12" t="s">
        <v>11</v>
      </c>
      <c r="E69" s="13" t="s">
        <v>10</v>
      </c>
      <c r="F69" s="22" t="s">
        <v>9</v>
      </c>
      <c r="G69" s="13" t="s">
        <v>0</v>
      </c>
      <c r="H69" s="12" t="s">
        <v>390</v>
      </c>
      <c r="I69" s="11">
        <v>12500</v>
      </c>
      <c r="J69" s="10">
        <v>2000</v>
      </c>
      <c r="K69" s="9">
        <v>10500</v>
      </c>
      <c r="L69" s="8">
        <f t="shared" si="1"/>
        <v>0</v>
      </c>
    </row>
    <row r="70" spans="1:12" ht="165.75" customHeight="1" thickBot="1" x14ac:dyDescent="0.3">
      <c r="A70" s="47"/>
      <c r="B70" s="24" t="s">
        <v>12</v>
      </c>
      <c r="C70" s="12" t="s">
        <v>3</v>
      </c>
      <c r="D70" s="12" t="s">
        <v>11</v>
      </c>
      <c r="E70" s="13" t="s">
        <v>10</v>
      </c>
      <c r="F70" s="22" t="s">
        <v>4</v>
      </c>
      <c r="G70" s="13" t="s">
        <v>0</v>
      </c>
      <c r="H70" s="12" t="s">
        <v>390</v>
      </c>
      <c r="I70" s="11">
        <v>15000</v>
      </c>
      <c r="J70" s="10"/>
      <c r="K70" s="9">
        <v>15000</v>
      </c>
      <c r="L70" s="8">
        <f t="shared" si="1"/>
        <v>0</v>
      </c>
    </row>
    <row r="71" spans="1:12" ht="165.75" customHeight="1" thickBot="1" x14ac:dyDescent="0.3">
      <c r="A71" s="47"/>
      <c r="B71" s="24" t="s">
        <v>7</v>
      </c>
      <c r="C71" s="12" t="s">
        <v>6</v>
      </c>
      <c r="D71" s="12" t="s">
        <v>1</v>
      </c>
      <c r="E71" s="13" t="s">
        <v>5</v>
      </c>
      <c r="F71" s="22" t="s">
        <v>4</v>
      </c>
      <c r="G71" s="13" t="s">
        <v>0</v>
      </c>
      <c r="H71" s="12" t="s">
        <v>381</v>
      </c>
      <c r="I71" s="11">
        <v>14000</v>
      </c>
      <c r="J71" s="10">
        <v>4000</v>
      </c>
      <c r="K71" s="9">
        <v>10000</v>
      </c>
      <c r="L71" s="8">
        <f t="shared" si="1"/>
        <v>0</v>
      </c>
    </row>
    <row r="72" spans="1:12" ht="165.75" customHeight="1" thickBot="1" x14ac:dyDescent="0.3">
      <c r="A72" s="47"/>
      <c r="B72" s="24" t="s">
        <v>7</v>
      </c>
      <c r="C72" s="12" t="s">
        <v>6</v>
      </c>
      <c r="D72" s="12" t="s">
        <v>1</v>
      </c>
      <c r="E72" s="13" t="s">
        <v>5</v>
      </c>
      <c r="F72" s="22" t="s">
        <v>4</v>
      </c>
      <c r="G72" s="13" t="s">
        <v>0</v>
      </c>
      <c r="H72" s="12" t="s">
        <v>381</v>
      </c>
      <c r="I72" s="11">
        <v>3000</v>
      </c>
      <c r="J72" s="10"/>
      <c r="K72" s="9">
        <v>3000</v>
      </c>
      <c r="L72" s="8">
        <f t="shared" si="1"/>
        <v>0</v>
      </c>
    </row>
    <row r="73" spans="1:12" ht="165.75" customHeight="1" thickBot="1" x14ac:dyDescent="0.3">
      <c r="A73" s="47"/>
      <c r="B73" s="24" t="s">
        <v>194</v>
      </c>
      <c r="C73" s="12" t="s">
        <v>118</v>
      </c>
      <c r="D73" s="12" t="s">
        <v>1</v>
      </c>
      <c r="E73" s="13" t="s">
        <v>216</v>
      </c>
      <c r="F73" s="22" t="s">
        <v>122</v>
      </c>
      <c r="G73" s="13" t="s">
        <v>0</v>
      </c>
      <c r="H73" s="12" t="s">
        <v>411</v>
      </c>
      <c r="I73" s="11">
        <v>2000</v>
      </c>
      <c r="J73" s="10"/>
      <c r="K73" s="9">
        <v>2000</v>
      </c>
      <c r="L73" s="8">
        <f t="shared" si="1"/>
        <v>0</v>
      </c>
    </row>
    <row r="74" spans="1:12" ht="165.75" customHeight="1" thickBot="1" x14ac:dyDescent="0.3">
      <c r="A74" s="48"/>
      <c r="B74" s="24" t="s">
        <v>194</v>
      </c>
      <c r="C74" s="12" t="s">
        <v>118</v>
      </c>
      <c r="D74" s="12" t="s">
        <v>1</v>
      </c>
      <c r="E74" s="13" t="s">
        <v>216</v>
      </c>
      <c r="F74" s="22" t="s">
        <v>122</v>
      </c>
      <c r="G74" s="13" t="s">
        <v>0</v>
      </c>
      <c r="H74" s="12" t="s">
        <v>411</v>
      </c>
      <c r="I74" s="11">
        <v>3000</v>
      </c>
      <c r="J74" s="10"/>
      <c r="K74" s="9">
        <v>3000</v>
      </c>
      <c r="L74" s="8">
        <f t="shared" si="1"/>
        <v>0</v>
      </c>
    </row>
  </sheetData>
  <autoFilter ref="A2:L40"/>
  <dataConsolidate/>
  <mergeCells count="6">
    <mergeCell ref="A52:A56"/>
    <mergeCell ref="A57:A59"/>
    <mergeCell ref="A60:A74"/>
    <mergeCell ref="A1:L1"/>
    <mergeCell ref="A3:A30"/>
    <mergeCell ref="A31:A51"/>
  </mergeCells>
  <conditionalFormatting sqref="I2:I31 K3:L31 L32:L67">
    <cfRule type="cellIs" dxfId="45" priority="7" operator="lessThan">
      <formula>0</formula>
    </cfRule>
  </conditionalFormatting>
  <conditionalFormatting sqref="L2">
    <cfRule type="cellIs" dxfId="44" priority="6" operator="lessThan">
      <formula>0</formula>
    </cfRule>
  </conditionalFormatting>
  <conditionalFormatting sqref="I32:I37 K32:K37">
    <cfRule type="cellIs" dxfId="43" priority="5" operator="lessThan">
      <formula>0</formula>
    </cfRule>
  </conditionalFormatting>
  <conditionalFormatting sqref="I38:I67 K38:K67">
    <cfRule type="cellIs" dxfId="42" priority="3" operator="lessThan">
      <formula>0</formula>
    </cfRule>
  </conditionalFormatting>
  <conditionalFormatting sqref="L68:L74">
    <cfRule type="cellIs" dxfId="41" priority="2" operator="lessThan">
      <formula>0</formula>
    </cfRule>
  </conditionalFormatting>
  <conditionalFormatting sqref="I68:I74 K68:K74">
    <cfRule type="cellIs" dxfId="40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7"/>
  <sheetViews>
    <sheetView showGridLines="0" view="pageBreakPreview" topLeftCell="A31" zoomScale="20" zoomScaleNormal="15" zoomScaleSheetLayoutView="20" workbookViewId="0">
      <selection activeCell="J35" sqref="J35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415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325</v>
      </c>
      <c r="C3" s="12" t="s">
        <v>34</v>
      </c>
      <c r="D3" s="12" t="s">
        <v>24</v>
      </c>
      <c r="E3" s="13" t="s">
        <v>33</v>
      </c>
      <c r="F3" s="22" t="s">
        <v>4</v>
      </c>
      <c r="G3" s="13" t="s">
        <v>0</v>
      </c>
      <c r="H3" s="12" t="s">
        <v>390</v>
      </c>
      <c r="I3" s="11">
        <v>2136</v>
      </c>
      <c r="J3" s="10">
        <v>1000</v>
      </c>
      <c r="K3" s="9">
        <v>1136</v>
      </c>
      <c r="L3" s="8">
        <f t="shared" ref="L3:L37" si="0">K3+J3-I3</f>
        <v>0</v>
      </c>
    </row>
    <row r="4" spans="1:12" ht="162" customHeight="1" thickBot="1" x14ac:dyDescent="0.3">
      <c r="A4" s="47"/>
      <c r="B4" s="13" t="s">
        <v>38</v>
      </c>
      <c r="C4" s="12" t="s">
        <v>27</v>
      </c>
      <c r="D4" s="12" t="s">
        <v>24</v>
      </c>
      <c r="E4" s="13" t="s">
        <v>377</v>
      </c>
      <c r="F4" s="22" t="s">
        <v>9</v>
      </c>
      <c r="G4" s="13" t="s">
        <v>0</v>
      </c>
      <c r="H4" s="12" t="s">
        <v>411</v>
      </c>
      <c r="I4" s="11">
        <v>2900</v>
      </c>
      <c r="J4" s="10">
        <v>1000</v>
      </c>
      <c r="K4" s="9">
        <v>1900</v>
      </c>
      <c r="L4" s="8">
        <f t="shared" si="0"/>
        <v>0</v>
      </c>
    </row>
    <row r="5" spans="1:12" ht="162" customHeight="1" thickBot="1" x14ac:dyDescent="0.3">
      <c r="A5" s="47"/>
      <c r="B5" s="13" t="s">
        <v>371</v>
      </c>
      <c r="C5" s="12" t="s">
        <v>113</v>
      </c>
      <c r="D5" s="12" t="s">
        <v>24</v>
      </c>
      <c r="E5" s="13" t="s">
        <v>115</v>
      </c>
      <c r="F5" s="22" t="s">
        <v>9</v>
      </c>
      <c r="G5" s="13" t="s">
        <v>0</v>
      </c>
      <c r="H5" s="12" t="s">
        <v>411</v>
      </c>
      <c r="I5" s="11">
        <v>1000</v>
      </c>
      <c r="J5" s="10">
        <v>500</v>
      </c>
      <c r="K5" s="9">
        <v>500</v>
      </c>
      <c r="L5" s="8">
        <f t="shared" si="0"/>
        <v>0</v>
      </c>
    </row>
    <row r="6" spans="1:12" ht="162" customHeight="1" thickBot="1" x14ac:dyDescent="0.3">
      <c r="A6" s="47"/>
      <c r="B6" s="13" t="s">
        <v>32</v>
      </c>
      <c r="C6" s="12" t="s">
        <v>31</v>
      </c>
      <c r="D6" s="12" t="s">
        <v>24</v>
      </c>
      <c r="E6" s="13" t="s">
        <v>71</v>
      </c>
      <c r="F6" s="22" t="s">
        <v>4</v>
      </c>
      <c r="G6" s="13" t="s">
        <v>0</v>
      </c>
      <c r="H6" s="12" t="s">
        <v>390</v>
      </c>
      <c r="I6" s="11">
        <v>1670</v>
      </c>
      <c r="J6" s="10">
        <v>1000</v>
      </c>
      <c r="K6" s="9">
        <v>670</v>
      </c>
      <c r="L6" s="8">
        <f t="shared" si="0"/>
        <v>0</v>
      </c>
    </row>
    <row r="7" spans="1:12" ht="162" customHeight="1" thickBot="1" x14ac:dyDescent="0.3">
      <c r="A7" s="47"/>
      <c r="B7" s="13" t="s">
        <v>32</v>
      </c>
      <c r="C7" s="12" t="s">
        <v>31</v>
      </c>
      <c r="D7" s="12" t="s">
        <v>24</v>
      </c>
      <c r="E7" s="13" t="s">
        <v>171</v>
      </c>
      <c r="F7" s="22" t="s">
        <v>4</v>
      </c>
      <c r="G7" s="13" t="s">
        <v>0</v>
      </c>
      <c r="H7" s="12" t="s">
        <v>390</v>
      </c>
      <c r="I7" s="11">
        <v>883</v>
      </c>
      <c r="J7" s="10"/>
      <c r="K7" s="9">
        <v>883</v>
      </c>
      <c r="L7" s="8">
        <f t="shared" si="0"/>
        <v>0</v>
      </c>
    </row>
    <row r="8" spans="1:12" ht="162" customHeight="1" thickBot="1" x14ac:dyDescent="0.3">
      <c r="A8" s="47"/>
      <c r="B8" s="13" t="s">
        <v>32</v>
      </c>
      <c r="C8" s="12" t="s">
        <v>31</v>
      </c>
      <c r="D8" s="12" t="s">
        <v>24</v>
      </c>
      <c r="E8" s="13" t="s">
        <v>116</v>
      </c>
      <c r="F8" s="22" t="s">
        <v>9</v>
      </c>
      <c r="G8" s="13" t="s">
        <v>0</v>
      </c>
      <c r="H8" s="12" t="s">
        <v>411</v>
      </c>
      <c r="I8" s="11">
        <v>1000</v>
      </c>
      <c r="J8" s="10"/>
      <c r="K8" s="9">
        <v>1000</v>
      </c>
      <c r="L8" s="8">
        <f t="shared" si="0"/>
        <v>0</v>
      </c>
    </row>
    <row r="9" spans="1:12" ht="162" customHeight="1" thickBot="1" x14ac:dyDescent="0.3">
      <c r="A9" s="48"/>
      <c r="B9" s="13" t="s">
        <v>66</v>
      </c>
      <c r="C9" s="12" t="s">
        <v>155</v>
      </c>
      <c r="D9" s="12" t="s">
        <v>24</v>
      </c>
      <c r="E9" s="13" t="s">
        <v>156</v>
      </c>
      <c r="F9" s="22" t="s">
        <v>4</v>
      </c>
      <c r="G9" s="13" t="s">
        <v>0</v>
      </c>
      <c r="H9" s="12" t="s">
        <v>390</v>
      </c>
      <c r="I9" s="11">
        <v>3170</v>
      </c>
      <c r="J9" s="10">
        <v>1000</v>
      </c>
      <c r="K9" s="9">
        <v>2170</v>
      </c>
      <c r="L9" s="8">
        <f t="shared" si="0"/>
        <v>0</v>
      </c>
    </row>
    <row r="10" spans="1:12" ht="162" customHeight="1" thickBot="1" x14ac:dyDescent="0.3">
      <c r="A10" s="46" t="s">
        <v>36</v>
      </c>
      <c r="B10" s="13" t="s">
        <v>99</v>
      </c>
      <c r="C10" s="12" t="s">
        <v>100</v>
      </c>
      <c r="D10" s="12" t="s">
        <v>24</v>
      </c>
      <c r="E10" s="13" t="s">
        <v>342</v>
      </c>
      <c r="F10" s="22" t="s">
        <v>102</v>
      </c>
      <c r="G10" s="13" t="s">
        <v>37</v>
      </c>
      <c r="H10" s="12" t="s">
        <v>390</v>
      </c>
      <c r="I10" s="11">
        <v>1000</v>
      </c>
      <c r="J10" s="10">
        <v>1000</v>
      </c>
      <c r="K10" s="9"/>
      <c r="L10" s="8">
        <f t="shared" si="0"/>
        <v>0</v>
      </c>
    </row>
    <row r="11" spans="1:12" ht="162" customHeight="1" thickBot="1" x14ac:dyDescent="0.3">
      <c r="A11" s="47"/>
      <c r="B11" s="13" t="s">
        <v>99</v>
      </c>
      <c r="C11" s="12" t="s">
        <v>100</v>
      </c>
      <c r="D11" s="12" t="s">
        <v>24</v>
      </c>
      <c r="E11" s="13" t="s">
        <v>128</v>
      </c>
      <c r="F11" s="22" t="s">
        <v>102</v>
      </c>
      <c r="G11" s="13" t="s">
        <v>37</v>
      </c>
      <c r="H11" s="12" t="s">
        <v>390</v>
      </c>
      <c r="I11" s="11">
        <v>500</v>
      </c>
      <c r="J11" s="10"/>
      <c r="K11" s="9">
        <v>500</v>
      </c>
      <c r="L11" s="8">
        <f t="shared" si="0"/>
        <v>0</v>
      </c>
    </row>
    <row r="12" spans="1:12" ht="162" customHeight="1" thickBot="1" x14ac:dyDescent="0.3">
      <c r="A12" s="47"/>
      <c r="B12" s="13" t="s">
        <v>99</v>
      </c>
      <c r="C12" s="12" t="s">
        <v>100</v>
      </c>
      <c r="D12" s="12" t="s">
        <v>24</v>
      </c>
      <c r="E12" s="13" t="s">
        <v>379</v>
      </c>
      <c r="F12" s="22" t="s">
        <v>102</v>
      </c>
      <c r="G12" s="13" t="s">
        <v>37</v>
      </c>
      <c r="H12" s="12" t="s">
        <v>390</v>
      </c>
      <c r="I12" s="11">
        <v>500</v>
      </c>
      <c r="J12" s="10"/>
      <c r="K12" s="9">
        <v>500</v>
      </c>
      <c r="L12" s="8">
        <f t="shared" si="0"/>
        <v>0</v>
      </c>
    </row>
    <row r="13" spans="1:12" ht="162" customHeight="1" thickBot="1" x14ac:dyDescent="0.3">
      <c r="A13" s="47"/>
      <c r="B13" s="13" t="s">
        <v>35</v>
      </c>
      <c r="C13" s="12" t="s">
        <v>155</v>
      </c>
      <c r="D13" s="12" t="s">
        <v>24</v>
      </c>
      <c r="E13" s="13" t="s">
        <v>156</v>
      </c>
      <c r="F13" s="22" t="s">
        <v>4</v>
      </c>
      <c r="G13" s="13" t="s">
        <v>0</v>
      </c>
      <c r="H13" s="12" t="s">
        <v>390</v>
      </c>
      <c r="I13" s="11">
        <v>3000</v>
      </c>
      <c r="J13" s="10">
        <v>1000</v>
      </c>
      <c r="K13" s="9">
        <v>2000</v>
      </c>
      <c r="L13" s="8">
        <f t="shared" si="0"/>
        <v>0</v>
      </c>
    </row>
    <row r="14" spans="1:12" ht="162" customHeight="1" thickBot="1" x14ac:dyDescent="0.3">
      <c r="A14" s="47"/>
      <c r="B14" s="13" t="s">
        <v>28</v>
      </c>
      <c r="C14" s="12" t="s">
        <v>34</v>
      </c>
      <c r="D14" s="12" t="s">
        <v>24</v>
      </c>
      <c r="E14" s="13" t="s">
        <v>33</v>
      </c>
      <c r="F14" s="22" t="s">
        <v>4</v>
      </c>
      <c r="G14" s="13" t="s">
        <v>0</v>
      </c>
      <c r="H14" s="12" t="s">
        <v>390</v>
      </c>
      <c r="I14" s="11">
        <v>2500</v>
      </c>
      <c r="J14" s="10">
        <v>1000</v>
      </c>
      <c r="K14" s="9">
        <v>1500</v>
      </c>
      <c r="L14" s="8">
        <f t="shared" si="0"/>
        <v>0</v>
      </c>
    </row>
    <row r="15" spans="1:12" ht="162" customHeight="1" thickBot="1" x14ac:dyDescent="0.3">
      <c r="A15" s="47"/>
      <c r="B15" s="13" t="s">
        <v>61</v>
      </c>
      <c r="C15" s="12" t="s">
        <v>31</v>
      </c>
      <c r="D15" s="12" t="s">
        <v>24</v>
      </c>
      <c r="E15" s="13" t="s">
        <v>71</v>
      </c>
      <c r="F15" s="22" t="s">
        <v>4</v>
      </c>
      <c r="G15" s="13" t="s">
        <v>0</v>
      </c>
      <c r="H15" s="12" t="s">
        <v>390</v>
      </c>
      <c r="I15" s="11">
        <v>1670</v>
      </c>
      <c r="J15" s="10"/>
      <c r="K15" s="9">
        <v>1670</v>
      </c>
      <c r="L15" s="8">
        <f t="shared" si="0"/>
        <v>0</v>
      </c>
    </row>
    <row r="16" spans="1:12" ht="162" customHeight="1" thickBot="1" x14ac:dyDescent="0.3">
      <c r="A16" s="47"/>
      <c r="B16" s="13" t="s">
        <v>32</v>
      </c>
      <c r="C16" s="12" t="s">
        <v>31</v>
      </c>
      <c r="D16" s="12" t="s">
        <v>24</v>
      </c>
      <c r="E16" s="13" t="s">
        <v>116</v>
      </c>
      <c r="F16" s="22" t="s">
        <v>9</v>
      </c>
      <c r="G16" s="13" t="s">
        <v>0</v>
      </c>
      <c r="H16" s="12" t="s">
        <v>411</v>
      </c>
      <c r="I16" s="11">
        <v>2000</v>
      </c>
      <c r="J16" s="10"/>
      <c r="K16" s="9">
        <v>2000</v>
      </c>
      <c r="L16" s="8">
        <f t="shared" si="0"/>
        <v>0</v>
      </c>
    </row>
    <row r="17" spans="1:12" ht="162" customHeight="1" thickBot="1" x14ac:dyDescent="0.3">
      <c r="A17" s="47"/>
      <c r="B17" s="13" t="s">
        <v>35</v>
      </c>
      <c r="C17" s="12" t="s">
        <v>155</v>
      </c>
      <c r="D17" s="12" t="s">
        <v>24</v>
      </c>
      <c r="E17" s="13" t="s">
        <v>156</v>
      </c>
      <c r="F17" s="22" t="s">
        <v>4</v>
      </c>
      <c r="G17" s="13" t="s">
        <v>0</v>
      </c>
      <c r="H17" s="12" t="s">
        <v>390</v>
      </c>
      <c r="I17" s="11">
        <v>1170</v>
      </c>
      <c r="J17" s="10"/>
      <c r="K17" s="9">
        <v>1170</v>
      </c>
      <c r="L17" s="8">
        <f t="shared" si="0"/>
        <v>0</v>
      </c>
    </row>
    <row r="18" spans="1:12" ht="162" customHeight="1" thickBot="1" x14ac:dyDescent="0.3">
      <c r="A18" s="47"/>
      <c r="B18" s="13" t="s">
        <v>28</v>
      </c>
      <c r="C18" s="12" t="s">
        <v>34</v>
      </c>
      <c r="D18" s="12" t="s">
        <v>24</v>
      </c>
      <c r="E18" s="13" t="s">
        <v>33</v>
      </c>
      <c r="F18" s="22" t="s">
        <v>4</v>
      </c>
      <c r="G18" s="13" t="s">
        <v>0</v>
      </c>
      <c r="H18" s="12" t="s">
        <v>390</v>
      </c>
      <c r="I18" s="11">
        <v>636</v>
      </c>
      <c r="J18" s="10"/>
      <c r="K18" s="9">
        <v>636</v>
      </c>
      <c r="L18" s="8">
        <f t="shared" si="0"/>
        <v>0</v>
      </c>
    </row>
    <row r="19" spans="1:12" ht="162" customHeight="1" thickBot="1" x14ac:dyDescent="0.3">
      <c r="A19" s="47"/>
      <c r="B19" s="24" t="s">
        <v>284</v>
      </c>
      <c r="C19" s="12" t="s">
        <v>113</v>
      </c>
      <c r="D19" s="22" t="s">
        <v>24</v>
      </c>
      <c r="E19" s="13" t="s">
        <v>115</v>
      </c>
      <c r="F19" s="22" t="s">
        <v>9</v>
      </c>
      <c r="G19" s="13" t="s">
        <v>0</v>
      </c>
      <c r="H19" s="12" t="s">
        <v>411</v>
      </c>
      <c r="I19" s="11">
        <v>1000</v>
      </c>
      <c r="J19" s="10"/>
      <c r="K19" s="9">
        <v>1000</v>
      </c>
      <c r="L19" s="8">
        <f t="shared" si="0"/>
        <v>0</v>
      </c>
    </row>
    <row r="20" spans="1:12" ht="162" customHeight="1" thickBot="1" x14ac:dyDescent="0.3">
      <c r="A20" s="47"/>
      <c r="B20" s="24" t="s">
        <v>95</v>
      </c>
      <c r="C20" s="12" t="s">
        <v>15</v>
      </c>
      <c r="D20" s="22" t="s">
        <v>24</v>
      </c>
      <c r="E20" s="13" t="s">
        <v>96</v>
      </c>
      <c r="F20" s="22" t="s">
        <v>4</v>
      </c>
      <c r="G20" s="13" t="s">
        <v>0</v>
      </c>
      <c r="H20" s="12" t="s">
        <v>390</v>
      </c>
      <c r="I20" s="11">
        <v>1650</v>
      </c>
      <c r="J20" s="10">
        <v>500</v>
      </c>
      <c r="K20" s="9">
        <v>1150</v>
      </c>
      <c r="L20" s="8">
        <f t="shared" si="0"/>
        <v>0</v>
      </c>
    </row>
    <row r="21" spans="1:12" ht="162" customHeight="1" thickBot="1" x14ac:dyDescent="0.3">
      <c r="A21" s="47"/>
      <c r="B21" s="24" t="s">
        <v>38</v>
      </c>
      <c r="C21" s="12" t="s">
        <v>27</v>
      </c>
      <c r="D21" s="12" t="s">
        <v>24</v>
      </c>
      <c r="E21" s="13" t="s">
        <v>197</v>
      </c>
      <c r="F21" s="22" t="s">
        <v>4</v>
      </c>
      <c r="G21" s="13" t="s">
        <v>0</v>
      </c>
      <c r="H21" s="12" t="s">
        <v>390</v>
      </c>
      <c r="I21" s="11">
        <v>677</v>
      </c>
      <c r="J21" s="10"/>
      <c r="K21" s="9">
        <v>677</v>
      </c>
      <c r="L21" s="8">
        <f t="shared" si="0"/>
        <v>0</v>
      </c>
    </row>
    <row r="22" spans="1:12" ht="162" customHeight="1" thickBot="1" x14ac:dyDescent="0.3">
      <c r="A22" s="47"/>
      <c r="B22" s="24" t="s">
        <v>38</v>
      </c>
      <c r="C22" s="12" t="s">
        <v>27</v>
      </c>
      <c r="D22" s="12" t="s">
        <v>24</v>
      </c>
      <c r="E22" s="13" t="s">
        <v>377</v>
      </c>
      <c r="F22" s="22" t="s">
        <v>9</v>
      </c>
      <c r="G22" s="13" t="s">
        <v>0</v>
      </c>
      <c r="H22" s="12" t="s">
        <v>390</v>
      </c>
      <c r="I22" s="11">
        <v>2500</v>
      </c>
      <c r="J22" s="10">
        <v>1000</v>
      </c>
      <c r="K22" s="9">
        <v>1500</v>
      </c>
      <c r="L22" s="8">
        <f t="shared" si="0"/>
        <v>0</v>
      </c>
    </row>
    <row r="23" spans="1:12" ht="165.75" customHeight="1" thickBot="1" x14ac:dyDescent="0.3">
      <c r="A23" s="47"/>
      <c r="B23" s="24" t="s">
        <v>77</v>
      </c>
      <c r="C23" s="12" t="s">
        <v>27</v>
      </c>
      <c r="D23" s="12" t="s">
        <v>24</v>
      </c>
      <c r="E23" s="13" t="s">
        <v>377</v>
      </c>
      <c r="F23" s="22" t="s">
        <v>9</v>
      </c>
      <c r="G23" s="13" t="s">
        <v>0</v>
      </c>
      <c r="H23" s="12" t="s">
        <v>390</v>
      </c>
      <c r="I23" s="11">
        <v>1400</v>
      </c>
      <c r="J23" s="10"/>
      <c r="K23" s="9">
        <v>1400</v>
      </c>
      <c r="L23" s="8">
        <f t="shared" si="0"/>
        <v>0</v>
      </c>
    </row>
    <row r="24" spans="1:12" ht="165.75" customHeight="1" thickBot="1" x14ac:dyDescent="0.3">
      <c r="A24" s="48"/>
      <c r="B24" s="24" t="s">
        <v>157</v>
      </c>
      <c r="C24" s="12" t="s">
        <v>26</v>
      </c>
      <c r="D24" s="12" t="s">
        <v>24</v>
      </c>
      <c r="E24" s="13" t="s">
        <v>59</v>
      </c>
      <c r="F24" s="22" t="s">
        <v>4</v>
      </c>
      <c r="G24" s="13" t="s">
        <v>0</v>
      </c>
      <c r="H24" s="12" t="s">
        <v>390</v>
      </c>
      <c r="I24" s="11">
        <v>800</v>
      </c>
      <c r="J24" s="10"/>
      <c r="K24" s="9">
        <v>800</v>
      </c>
      <c r="L24" s="8">
        <f t="shared" si="0"/>
        <v>0</v>
      </c>
    </row>
    <row r="25" spans="1:12" ht="165.75" customHeight="1" thickBot="1" x14ac:dyDescent="0.3">
      <c r="A25" s="46" t="s">
        <v>23</v>
      </c>
      <c r="B25" s="24" t="s">
        <v>12</v>
      </c>
      <c r="C25" s="12" t="s">
        <v>6</v>
      </c>
      <c r="D25" s="12" t="s">
        <v>20</v>
      </c>
      <c r="E25" s="13" t="s">
        <v>22</v>
      </c>
      <c r="F25" s="22" t="s">
        <v>4</v>
      </c>
      <c r="G25" s="13" t="s">
        <v>0</v>
      </c>
      <c r="H25" s="12" t="s">
        <v>390</v>
      </c>
      <c r="I25" s="11">
        <v>8858</v>
      </c>
      <c r="J25" s="10"/>
      <c r="K25" s="9">
        <f>6000+2858</f>
        <v>8858</v>
      </c>
      <c r="L25" s="8">
        <f t="shared" si="0"/>
        <v>0</v>
      </c>
    </row>
    <row r="26" spans="1:12" ht="165.75" customHeight="1" thickBot="1" x14ac:dyDescent="0.3">
      <c r="A26" s="47"/>
      <c r="B26" s="24" t="s">
        <v>21</v>
      </c>
      <c r="C26" s="12" t="s">
        <v>3</v>
      </c>
      <c r="D26" s="12" t="s">
        <v>20</v>
      </c>
      <c r="E26" s="13" t="s">
        <v>56</v>
      </c>
      <c r="F26" s="22" t="s">
        <v>9</v>
      </c>
      <c r="G26" s="13" t="s">
        <v>0</v>
      </c>
      <c r="H26" s="12" t="s">
        <v>411</v>
      </c>
      <c r="I26" s="11">
        <v>3000</v>
      </c>
      <c r="J26" s="10"/>
      <c r="K26" s="9">
        <v>3000</v>
      </c>
      <c r="L26" s="8">
        <f t="shared" si="0"/>
        <v>0</v>
      </c>
    </row>
    <row r="27" spans="1:12" ht="165.75" customHeight="1" thickBot="1" x14ac:dyDescent="0.3">
      <c r="A27" s="47"/>
      <c r="B27" s="24" t="s">
        <v>21</v>
      </c>
      <c r="C27" s="12" t="s">
        <v>3</v>
      </c>
      <c r="D27" s="12" t="s">
        <v>20</v>
      </c>
      <c r="E27" s="13" t="s">
        <v>56</v>
      </c>
      <c r="F27" s="22" t="s">
        <v>9</v>
      </c>
      <c r="G27" s="13" t="s">
        <v>0</v>
      </c>
      <c r="H27" s="12" t="s">
        <v>390</v>
      </c>
      <c r="I27" s="11">
        <v>2000</v>
      </c>
      <c r="J27" s="10">
        <v>2000</v>
      </c>
      <c r="K27" s="9"/>
      <c r="L27" s="8">
        <f t="shared" si="0"/>
        <v>0</v>
      </c>
    </row>
    <row r="28" spans="1:12" ht="165.75" customHeight="1" thickBot="1" x14ac:dyDescent="0.3">
      <c r="A28" s="48"/>
      <c r="B28" s="24" t="s">
        <v>21</v>
      </c>
      <c r="C28" s="12" t="s">
        <v>3</v>
      </c>
      <c r="D28" s="12" t="s">
        <v>20</v>
      </c>
      <c r="E28" s="13" t="s">
        <v>56</v>
      </c>
      <c r="F28" s="22" t="s">
        <v>9</v>
      </c>
      <c r="G28" s="13" t="s">
        <v>0</v>
      </c>
      <c r="H28" s="12" t="s">
        <v>411</v>
      </c>
      <c r="I28" s="11">
        <v>12000</v>
      </c>
      <c r="J28" s="10"/>
      <c r="K28" s="9">
        <v>12000</v>
      </c>
      <c r="L28" s="8">
        <f t="shared" si="0"/>
        <v>0</v>
      </c>
    </row>
    <row r="29" spans="1:12" ht="165.75" customHeight="1" thickBot="1" x14ac:dyDescent="0.3">
      <c r="A29" s="46" t="s">
        <v>54</v>
      </c>
      <c r="B29" s="24" t="s">
        <v>172</v>
      </c>
      <c r="C29" s="12" t="s">
        <v>416</v>
      </c>
      <c r="D29" s="12" t="s">
        <v>60</v>
      </c>
      <c r="E29" s="13" t="s">
        <v>417</v>
      </c>
      <c r="F29" s="22" t="s">
        <v>4</v>
      </c>
      <c r="G29" s="13" t="s">
        <v>37</v>
      </c>
      <c r="H29" s="12" t="s">
        <v>390</v>
      </c>
      <c r="I29" s="11">
        <v>536</v>
      </c>
      <c r="J29" s="10">
        <v>200</v>
      </c>
      <c r="K29" s="9">
        <v>336</v>
      </c>
      <c r="L29" s="8">
        <f t="shared" si="0"/>
        <v>0</v>
      </c>
    </row>
    <row r="30" spans="1:12" ht="165.75" customHeight="1" thickBot="1" x14ac:dyDescent="0.3">
      <c r="A30" s="48"/>
      <c r="B30" s="24" t="s">
        <v>67</v>
      </c>
      <c r="C30" s="12" t="s">
        <v>158</v>
      </c>
      <c r="D30" s="12" t="s">
        <v>60</v>
      </c>
      <c r="E30" s="13" t="s">
        <v>159</v>
      </c>
      <c r="F30" s="22" t="s">
        <v>9</v>
      </c>
      <c r="G30" s="13" t="s">
        <v>0</v>
      </c>
      <c r="H30" s="12" t="s">
        <v>390</v>
      </c>
      <c r="I30" s="11">
        <v>5</v>
      </c>
      <c r="J30" s="10"/>
      <c r="K30" s="9">
        <v>5</v>
      </c>
      <c r="L30" s="8">
        <f t="shared" si="0"/>
        <v>0</v>
      </c>
    </row>
    <row r="31" spans="1:12" ht="165.75" customHeight="1" thickBot="1" x14ac:dyDescent="0.3">
      <c r="A31" s="46" t="s">
        <v>19</v>
      </c>
      <c r="B31" s="24" t="s">
        <v>12</v>
      </c>
      <c r="C31" s="12" t="s">
        <v>105</v>
      </c>
      <c r="D31" s="12" t="s">
        <v>120</v>
      </c>
      <c r="E31" s="13" t="s">
        <v>217</v>
      </c>
      <c r="F31" s="22" t="s">
        <v>122</v>
      </c>
      <c r="G31" s="13" t="s">
        <v>0</v>
      </c>
      <c r="H31" s="12" t="s">
        <v>411</v>
      </c>
      <c r="I31" s="11">
        <v>2000</v>
      </c>
      <c r="J31" s="10">
        <v>1000</v>
      </c>
      <c r="K31" s="9">
        <v>1000</v>
      </c>
      <c r="L31" s="8">
        <f t="shared" si="0"/>
        <v>0</v>
      </c>
    </row>
    <row r="32" spans="1:12" ht="165.75" customHeight="1" thickBot="1" x14ac:dyDescent="0.3">
      <c r="A32" s="47"/>
      <c r="B32" s="24" t="s">
        <v>7</v>
      </c>
      <c r="C32" s="12" t="s">
        <v>133</v>
      </c>
      <c r="D32" s="12" t="s">
        <v>14</v>
      </c>
      <c r="E32" s="13" t="s">
        <v>134</v>
      </c>
      <c r="F32" s="22" t="s">
        <v>9</v>
      </c>
      <c r="G32" s="13" t="s">
        <v>0</v>
      </c>
      <c r="H32" s="12" t="s">
        <v>390</v>
      </c>
      <c r="I32" s="11">
        <v>110</v>
      </c>
      <c r="J32" s="10">
        <v>110</v>
      </c>
      <c r="K32" s="9"/>
      <c r="L32" s="8">
        <f t="shared" si="0"/>
        <v>0</v>
      </c>
    </row>
    <row r="33" spans="1:12" ht="165.75" customHeight="1" thickBot="1" x14ac:dyDescent="0.3">
      <c r="A33" s="47"/>
      <c r="B33" s="24" t="s">
        <v>7</v>
      </c>
      <c r="C33" s="12" t="s">
        <v>15</v>
      </c>
      <c r="D33" s="12" t="s">
        <v>14</v>
      </c>
      <c r="E33" s="13" t="s">
        <v>58</v>
      </c>
      <c r="F33" s="22" t="s">
        <v>4</v>
      </c>
      <c r="G33" s="13" t="s">
        <v>0</v>
      </c>
      <c r="H33" s="12" t="s">
        <v>390</v>
      </c>
      <c r="I33" s="11">
        <v>960</v>
      </c>
      <c r="J33" s="10"/>
      <c r="K33" s="9">
        <v>960</v>
      </c>
      <c r="L33" s="8">
        <f t="shared" si="0"/>
        <v>0</v>
      </c>
    </row>
    <row r="34" spans="1:12" ht="165.75" customHeight="1" thickBot="1" x14ac:dyDescent="0.3">
      <c r="A34" s="47"/>
      <c r="B34" s="24" t="s">
        <v>7</v>
      </c>
      <c r="C34" s="12" t="s">
        <v>15</v>
      </c>
      <c r="D34" s="12" t="s">
        <v>14</v>
      </c>
      <c r="E34" s="13" t="s">
        <v>13</v>
      </c>
      <c r="F34" s="22" t="s">
        <v>4</v>
      </c>
      <c r="G34" s="13" t="s">
        <v>0</v>
      </c>
      <c r="H34" s="12" t="s">
        <v>390</v>
      </c>
      <c r="I34" s="11">
        <v>900</v>
      </c>
      <c r="J34" s="10"/>
      <c r="K34" s="9">
        <v>900</v>
      </c>
      <c r="L34" s="8">
        <f t="shared" si="0"/>
        <v>0</v>
      </c>
    </row>
    <row r="35" spans="1:12" ht="165.75" customHeight="1" thickBot="1" x14ac:dyDescent="0.3">
      <c r="A35" s="47"/>
      <c r="B35" s="24" t="s">
        <v>12</v>
      </c>
      <c r="C35" s="12" t="s">
        <v>3</v>
      </c>
      <c r="D35" s="12" t="s">
        <v>11</v>
      </c>
      <c r="E35" s="13" t="s">
        <v>10</v>
      </c>
      <c r="F35" s="22" t="s">
        <v>4</v>
      </c>
      <c r="G35" s="13" t="s">
        <v>0</v>
      </c>
      <c r="H35" s="12" t="s">
        <v>390</v>
      </c>
      <c r="I35" s="11">
        <v>7705</v>
      </c>
      <c r="J35" s="10">
        <v>5000</v>
      </c>
      <c r="K35" s="9">
        <v>2705</v>
      </c>
      <c r="L35" s="8">
        <f t="shared" si="0"/>
        <v>0</v>
      </c>
    </row>
    <row r="36" spans="1:12" ht="165.75" customHeight="1" thickBot="1" x14ac:dyDescent="0.3">
      <c r="A36" s="47"/>
      <c r="B36" s="24" t="s">
        <v>12</v>
      </c>
      <c r="C36" s="12" t="s">
        <v>3</v>
      </c>
      <c r="D36" s="12" t="s">
        <v>11</v>
      </c>
      <c r="E36" s="13" t="s">
        <v>10</v>
      </c>
      <c r="F36" s="22" t="s">
        <v>9</v>
      </c>
      <c r="G36" s="13" t="s">
        <v>0</v>
      </c>
      <c r="H36" s="12" t="s">
        <v>411</v>
      </c>
      <c r="I36" s="11">
        <v>12500</v>
      </c>
      <c r="J36" s="10"/>
      <c r="K36" s="9">
        <v>12500</v>
      </c>
      <c r="L36" s="8">
        <f t="shared" si="0"/>
        <v>0</v>
      </c>
    </row>
    <row r="37" spans="1:12" ht="165.75" customHeight="1" thickBot="1" x14ac:dyDescent="0.3">
      <c r="A37" s="48"/>
      <c r="B37" s="24" t="s">
        <v>7</v>
      </c>
      <c r="C37" s="12" t="s">
        <v>6</v>
      </c>
      <c r="D37" s="12" t="s">
        <v>1</v>
      </c>
      <c r="E37" s="13" t="s">
        <v>5</v>
      </c>
      <c r="F37" s="22" t="s">
        <v>4</v>
      </c>
      <c r="G37" s="13" t="s">
        <v>0</v>
      </c>
      <c r="H37" s="12" t="s">
        <v>390</v>
      </c>
      <c r="I37" s="11">
        <v>4652</v>
      </c>
      <c r="J37" s="10">
        <v>1000</v>
      </c>
      <c r="K37" s="9">
        <v>3652</v>
      </c>
      <c r="L37" s="8">
        <f t="shared" si="0"/>
        <v>0</v>
      </c>
    </row>
  </sheetData>
  <autoFilter ref="A2:L37"/>
  <dataConsolidate/>
  <mergeCells count="6">
    <mergeCell ref="A10:A24"/>
    <mergeCell ref="A25:A28"/>
    <mergeCell ref="A29:A30"/>
    <mergeCell ref="A31:A37"/>
    <mergeCell ref="A1:L1"/>
    <mergeCell ref="A3:A9"/>
  </mergeCells>
  <conditionalFormatting sqref="L30:L37 I2:I29 K3:L29">
    <cfRule type="cellIs" dxfId="39" priority="3" operator="lessThan">
      <formula>0</formula>
    </cfRule>
  </conditionalFormatting>
  <conditionalFormatting sqref="L2">
    <cfRule type="cellIs" dxfId="38" priority="2" operator="lessThan">
      <formula>0</formula>
    </cfRule>
  </conditionalFormatting>
  <conditionalFormatting sqref="I30:I37 K30:K37">
    <cfRule type="cellIs" dxfId="37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61"/>
  <sheetViews>
    <sheetView showGridLines="0" view="pageBreakPreview" zoomScale="20" zoomScaleNormal="15" zoomScaleSheetLayoutView="20" workbookViewId="0">
      <selection activeCell="J7" sqref="J7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420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421</v>
      </c>
      <c r="I3" s="11">
        <v>2000</v>
      </c>
      <c r="J3" s="10">
        <v>1000</v>
      </c>
      <c r="K3" s="9">
        <v>1000</v>
      </c>
      <c r="L3" s="8">
        <f t="shared" ref="L3:L61" si="0">K3+J3-I3</f>
        <v>0</v>
      </c>
    </row>
    <row r="4" spans="1:12" ht="162" customHeight="1" thickBot="1" x14ac:dyDescent="0.3">
      <c r="A4" s="47"/>
      <c r="B4" s="13" t="s">
        <v>136</v>
      </c>
      <c r="C4" s="12" t="s">
        <v>6</v>
      </c>
      <c r="D4" s="12" t="s">
        <v>126</v>
      </c>
      <c r="E4" s="13" t="s">
        <v>137</v>
      </c>
      <c r="F4" s="22" t="s">
        <v>122</v>
      </c>
      <c r="G4" s="13" t="s">
        <v>0</v>
      </c>
      <c r="H4" s="12" t="s">
        <v>421</v>
      </c>
      <c r="I4" s="11">
        <v>1600</v>
      </c>
      <c r="J4" s="10"/>
      <c r="K4" s="9"/>
      <c r="L4" s="8">
        <f t="shared" si="0"/>
        <v>-1600</v>
      </c>
    </row>
    <row r="5" spans="1:12" ht="162" customHeight="1" thickBot="1" x14ac:dyDescent="0.3">
      <c r="A5" s="47"/>
      <c r="B5" s="13" t="s">
        <v>40</v>
      </c>
      <c r="C5" s="12" t="s">
        <v>73</v>
      </c>
      <c r="D5" s="12" t="s">
        <v>126</v>
      </c>
      <c r="E5" s="13" t="s">
        <v>430</v>
      </c>
      <c r="F5" s="22" t="s">
        <v>131</v>
      </c>
      <c r="G5" s="13" t="s">
        <v>37</v>
      </c>
      <c r="H5" s="12" t="s">
        <v>421</v>
      </c>
      <c r="I5" s="11">
        <v>316</v>
      </c>
      <c r="J5" s="10"/>
      <c r="K5" s="9">
        <v>316</v>
      </c>
      <c r="L5" s="8">
        <f t="shared" si="0"/>
        <v>0</v>
      </c>
    </row>
    <row r="6" spans="1:12" ht="162" customHeight="1" thickBot="1" x14ac:dyDescent="0.3">
      <c r="A6" s="47"/>
      <c r="B6" s="13" t="s">
        <v>40</v>
      </c>
      <c r="C6" s="12" t="s">
        <v>31</v>
      </c>
      <c r="D6" s="12" t="s">
        <v>126</v>
      </c>
      <c r="E6" s="13" t="s">
        <v>351</v>
      </c>
      <c r="F6" s="22" t="s">
        <v>131</v>
      </c>
      <c r="G6" s="13" t="s">
        <v>37</v>
      </c>
      <c r="H6" s="12" t="s">
        <v>421</v>
      </c>
      <c r="I6" s="11">
        <v>76</v>
      </c>
      <c r="J6" s="10"/>
      <c r="K6" s="9">
        <v>76</v>
      </c>
      <c r="L6" s="8">
        <f t="shared" si="0"/>
        <v>0</v>
      </c>
    </row>
    <row r="7" spans="1:12" ht="162" customHeight="1" thickBot="1" x14ac:dyDescent="0.3">
      <c r="A7" s="47"/>
      <c r="B7" s="13" t="s">
        <v>40</v>
      </c>
      <c r="C7" s="12" t="s">
        <v>163</v>
      </c>
      <c r="D7" s="12" t="s">
        <v>126</v>
      </c>
      <c r="E7" s="13" t="s">
        <v>431</v>
      </c>
      <c r="F7" s="22" t="s">
        <v>131</v>
      </c>
      <c r="G7" s="13" t="s">
        <v>37</v>
      </c>
      <c r="H7" s="12" t="s">
        <v>421</v>
      </c>
      <c r="I7" s="11">
        <v>100</v>
      </c>
      <c r="J7" s="10"/>
      <c r="K7" s="9">
        <v>100</v>
      </c>
      <c r="L7" s="8">
        <f t="shared" si="0"/>
        <v>0</v>
      </c>
    </row>
    <row r="8" spans="1:12" ht="162" customHeight="1" thickBot="1" x14ac:dyDescent="0.3">
      <c r="A8" s="47"/>
      <c r="B8" s="13" t="s">
        <v>136</v>
      </c>
      <c r="C8" s="12" t="s">
        <v>3</v>
      </c>
      <c r="D8" s="12" t="s">
        <v>126</v>
      </c>
      <c r="E8" s="13" t="s">
        <v>153</v>
      </c>
      <c r="F8" s="22" t="s">
        <v>122</v>
      </c>
      <c r="G8" s="13" t="s">
        <v>0</v>
      </c>
      <c r="H8" s="12" t="s">
        <v>421</v>
      </c>
      <c r="I8" s="11">
        <v>3000</v>
      </c>
      <c r="J8" s="10"/>
      <c r="K8" s="9">
        <v>3000</v>
      </c>
      <c r="L8" s="8">
        <f t="shared" si="0"/>
        <v>0</v>
      </c>
    </row>
    <row r="9" spans="1:12" ht="162" customHeight="1" thickBot="1" x14ac:dyDescent="0.3">
      <c r="A9" s="47"/>
      <c r="B9" s="13" t="s">
        <v>136</v>
      </c>
      <c r="C9" s="12" t="s">
        <v>3</v>
      </c>
      <c r="D9" s="12" t="s">
        <v>126</v>
      </c>
      <c r="E9" s="13" t="s">
        <v>392</v>
      </c>
      <c r="F9" s="22" t="s">
        <v>122</v>
      </c>
      <c r="G9" s="13" t="s">
        <v>0</v>
      </c>
      <c r="H9" s="12" t="s">
        <v>421</v>
      </c>
      <c r="I9" s="11">
        <v>2000</v>
      </c>
      <c r="J9" s="10">
        <v>1000</v>
      </c>
      <c r="K9" s="9">
        <v>1000</v>
      </c>
      <c r="L9" s="8">
        <f t="shared" si="0"/>
        <v>0</v>
      </c>
    </row>
    <row r="10" spans="1:12" ht="162" customHeight="1" thickBot="1" x14ac:dyDescent="0.3">
      <c r="A10" s="47"/>
      <c r="B10" s="13" t="s">
        <v>136</v>
      </c>
      <c r="C10" s="12" t="s">
        <v>3</v>
      </c>
      <c r="D10" s="12" t="s">
        <v>126</v>
      </c>
      <c r="E10" s="13" t="s">
        <v>422</v>
      </c>
      <c r="F10" s="22" t="s">
        <v>122</v>
      </c>
      <c r="G10" s="13" t="s">
        <v>0</v>
      </c>
      <c r="H10" s="12" t="s">
        <v>421</v>
      </c>
      <c r="I10" s="11">
        <v>1000</v>
      </c>
      <c r="J10" s="10"/>
      <c r="K10" s="9">
        <v>1000</v>
      </c>
      <c r="L10" s="8">
        <f t="shared" si="0"/>
        <v>0</v>
      </c>
    </row>
    <row r="11" spans="1:12" ht="162" customHeight="1" thickBot="1" x14ac:dyDescent="0.3">
      <c r="A11" s="47"/>
      <c r="B11" s="13" t="s">
        <v>136</v>
      </c>
      <c r="C11" s="12" t="s">
        <v>3</v>
      </c>
      <c r="D11" s="12" t="s">
        <v>126</v>
      </c>
      <c r="E11" s="13" t="s">
        <v>153</v>
      </c>
      <c r="F11" s="22" t="s">
        <v>122</v>
      </c>
      <c r="G11" s="13" t="s">
        <v>0</v>
      </c>
      <c r="H11" s="12" t="s">
        <v>421</v>
      </c>
      <c r="I11" s="11">
        <v>2000</v>
      </c>
      <c r="J11" s="10">
        <v>1000</v>
      </c>
      <c r="K11" s="9">
        <v>1000</v>
      </c>
      <c r="L11" s="8">
        <f t="shared" si="0"/>
        <v>0</v>
      </c>
    </row>
    <row r="12" spans="1:12" ht="162" customHeight="1" thickBot="1" x14ac:dyDescent="0.3">
      <c r="A12" s="47"/>
      <c r="B12" s="13" t="s">
        <v>325</v>
      </c>
      <c r="C12" s="12" t="s">
        <v>34</v>
      </c>
      <c r="D12" s="12" t="s">
        <v>24</v>
      </c>
      <c r="E12" s="13" t="s">
        <v>33</v>
      </c>
      <c r="F12" s="22" t="s">
        <v>4</v>
      </c>
      <c r="G12" s="13" t="s">
        <v>0</v>
      </c>
      <c r="H12" s="12" t="s">
        <v>411</v>
      </c>
      <c r="I12" s="11">
        <v>3000</v>
      </c>
      <c r="J12" s="10">
        <v>1000</v>
      </c>
      <c r="K12" s="9">
        <v>2000</v>
      </c>
      <c r="L12" s="8">
        <f t="shared" si="0"/>
        <v>0</v>
      </c>
    </row>
    <row r="13" spans="1:12" ht="162" customHeight="1" thickBot="1" x14ac:dyDescent="0.3">
      <c r="A13" s="47"/>
      <c r="B13" s="13" t="s">
        <v>325</v>
      </c>
      <c r="C13" s="12" t="s">
        <v>34</v>
      </c>
      <c r="D13" s="12" t="s">
        <v>24</v>
      </c>
      <c r="E13" s="13" t="s">
        <v>33</v>
      </c>
      <c r="F13" s="22" t="s">
        <v>4</v>
      </c>
      <c r="G13" s="13" t="s">
        <v>0</v>
      </c>
      <c r="H13" s="12" t="s">
        <v>411</v>
      </c>
      <c r="I13" s="11">
        <v>1000</v>
      </c>
      <c r="J13" s="10"/>
      <c r="K13" s="9">
        <v>1000</v>
      </c>
      <c r="L13" s="8">
        <f t="shared" si="0"/>
        <v>0</v>
      </c>
    </row>
    <row r="14" spans="1:12" ht="162" customHeight="1" thickBot="1" x14ac:dyDescent="0.3">
      <c r="A14" s="47"/>
      <c r="B14" s="13" t="s">
        <v>95</v>
      </c>
      <c r="C14" s="12" t="s">
        <v>15</v>
      </c>
      <c r="D14" s="12" t="s">
        <v>24</v>
      </c>
      <c r="E14" s="13" t="s">
        <v>362</v>
      </c>
      <c r="F14" s="22" t="s">
        <v>4</v>
      </c>
      <c r="G14" s="13" t="s">
        <v>0</v>
      </c>
      <c r="H14" s="12" t="s">
        <v>411</v>
      </c>
      <c r="I14" s="11">
        <v>667</v>
      </c>
      <c r="J14" s="10"/>
      <c r="K14" s="9">
        <v>667</v>
      </c>
      <c r="L14" s="8">
        <f t="shared" si="0"/>
        <v>0</v>
      </c>
    </row>
    <row r="15" spans="1:12" ht="162" customHeight="1" thickBot="1" x14ac:dyDescent="0.3">
      <c r="A15" s="47"/>
      <c r="B15" s="13" t="s">
        <v>95</v>
      </c>
      <c r="C15" s="12" t="s">
        <v>15</v>
      </c>
      <c r="D15" s="12" t="s">
        <v>24</v>
      </c>
      <c r="E15" s="13" t="s">
        <v>362</v>
      </c>
      <c r="F15" s="22" t="s">
        <v>4</v>
      </c>
      <c r="G15" s="13" t="s">
        <v>0</v>
      </c>
      <c r="H15" s="12" t="s">
        <v>411</v>
      </c>
      <c r="I15" s="11">
        <v>500</v>
      </c>
      <c r="J15" s="10"/>
      <c r="K15" s="9">
        <v>500</v>
      </c>
      <c r="L15" s="8">
        <f t="shared" si="0"/>
        <v>0</v>
      </c>
    </row>
    <row r="16" spans="1:12" ht="162" customHeight="1" thickBot="1" x14ac:dyDescent="0.3">
      <c r="A16" s="47"/>
      <c r="B16" s="13" t="s">
        <v>95</v>
      </c>
      <c r="C16" s="12" t="s">
        <v>15</v>
      </c>
      <c r="D16" s="12" t="s">
        <v>24</v>
      </c>
      <c r="E16" s="13" t="s">
        <v>96</v>
      </c>
      <c r="F16" s="22" t="s">
        <v>4</v>
      </c>
      <c r="G16" s="13" t="s">
        <v>0</v>
      </c>
      <c r="H16" s="12" t="s">
        <v>411</v>
      </c>
      <c r="I16" s="11">
        <v>3850</v>
      </c>
      <c r="J16" s="10">
        <v>2000</v>
      </c>
      <c r="K16" s="9">
        <v>1850</v>
      </c>
      <c r="L16" s="8">
        <f t="shared" si="0"/>
        <v>0</v>
      </c>
    </row>
    <row r="17" spans="1:12" ht="162" customHeight="1" thickBot="1" x14ac:dyDescent="0.3">
      <c r="A17" s="47"/>
      <c r="B17" s="13" t="s">
        <v>38</v>
      </c>
      <c r="C17" s="12" t="s">
        <v>27</v>
      </c>
      <c r="D17" s="12" t="s">
        <v>24</v>
      </c>
      <c r="E17" s="13" t="s">
        <v>423</v>
      </c>
      <c r="F17" s="22" t="s">
        <v>9</v>
      </c>
      <c r="G17" s="13" t="s">
        <v>0</v>
      </c>
      <c r="H17" s="12" t="s">
        <v>421</v>
      </c>
      <c r="I17" s="11">
        <v>2000</v>
      </c>
      <c r="J17" s="10"/>
      <c r="K17" s="9">
        <v>2000</v>
      </c>
      <c r="L17" s="8">
        <f t="shared" si="0"/>
        <v>0</v>
      </c>
    </row>
    <row r="18" spans="1:12" ht="162" customHeight="1" thickBot="1" x14ac:dyDescent="0.3">
      <c r="A18" s="47"/>
      <c r="B18" s="13" t="s">
        <v>38</v>
      </c>
      <c r="C18" s="12" t="s">
        <v>27</v>
      </c>
      <c r="D18" s="12" t="s">
        <v>24</v>
      </c>
      <c r="E18" s="13" t="s">
        <v>423</v>
      </c>
      <c r="F18" s="22" t="s">
        <v>9</v>
      </c>
      <c r="G18" s="13" t="s">
        <v>0</v>
      </c>
      <c r="H18" s="12" t="s">
        <v>421</v>
      </c>
      <c r="I18" s="11">
        <v>2000</v>
      </c>
      <c r="J18" s="10"/>
      <c r="K18" s="9">
        <v>2000</v>
      </c>
      <c r="L18" s="8">
        <f t="shared" si="0"/>
        <v>0</v>
      </c>
    </row>
    <row r="19" spans="1:12" ht="162" customHeight="1" thickBot="1" x14ac:dyDescent="0.3">
      <c r="A19" s="47"/>
      <c r="B19" s="24" t="s">
        <v>38</v>
      </c>
      <c r="C19" s="12" t="s">
        <v>27</v>
      </c>
      <c r="D19" s="22" t="s">
        <v>24</v>
      </c>
      <c r="E19" s="13" t="s">
        <v>111</v>
      </c>
      <c r="F19" s="22" t="s">
        <v>4</v>
      </c>
      <c r="G19" s="13" t="s">
        <v>0</v>
      </c>
      <c r="H19" s="12" t="s">
        <v>411</v>
      </c>
      <c r="I19" s="11">
        <v>3970</v>
      </c>
      <c r="J19" s="10">
        <v>2500</v>
      </c>
      <c r="K19" s="9">
        <v>1470</v>
      </c>
      <c r="L19" s="8">
        <f t="shared" si="0"/>
        <v>0</v>
      </c>
    </row>
    <row r="20" spans="1:12" ht="162" customHeight="1" thickBot="1" x14ac:dyDescent="0.3">
      <c r="A20" s="47"/>
      <c r="B20" s="24" t="s">
        <v>371</v>
      </c>
      <c r="C20" s="12" t="s">
        <v>113</v>
      </c>
      <c r="D20" s="22" t="s">
        <v>24</v>
      </c>
      <c r="E20" s="13" t="s">
        <v>115</v>
      </c>
      <c r="F20" s="22" t="s">
        <v>9</v>
      </c>
      <c r="G20" s="13" t="s">
        <v>0</v>
      </c>
      <c r="H20" s="12" t="s">
        <v>421</v>
      </c>
      <c r="I20" s="11">
        <v>1000</v>
      </c>
      <c r="J20" s="10"/>
      <c r="K20" s="9">
        <v>1000</v>
      </c>
      <c r="L20" s="8">
        <f t="shared" si="0"/>
        <v>0</v>
      </c>
    </row>
    <row r="21" spans="1:12" ht="162" customHeight="1" thickBot="1" x14ac:dyDescent="0.3">
      <c r="A21" s="47"/>
      <c r="B21" s="24" t="s">
        <v>371</v>
      </c>
      <c r="C21" s="12" t="s">
        <v>113</v>
      </c>
      <c r="D21" s="12" t="s">
        <v>24</v>
      </c>
      <c r="E21" s="13" t="s">
        <v>114</v>
      </c>
      <c r="F21" s="22" t="s">
        <v>4</v>
      </c>
      <c r="G21" s="13" t="s">
        <v>0</v>
      </c>
      <c r="H21" s="12" t="s">
        <v>411</v>
      </c>
      <c r="I21" s="11">
        <v>1942</v>
      </c>
      <c r="J21" s="10">
        <v>1000</v>
      </c>
      <c r="K21" s="9">
        <v>942</v>
      </c>
      <c r="L21" s="8">
        <f t="shared" si="0"/>
        <v>0</v>
      </c>
    </row>
    <row r="22" spans="1:12" ht="162" customHeight="1" thickBot="1" x14ac:dyDescent="0.3">
      <c r="A22" s="47"/>
      <c r="B22" s="24" t="s">
        <v>371</v>
      </c>
      <c r="C22" s="12" t="s">
        <v>113</v>
      </c>
      <c r="D22" s="12" t="s">
        <v>24</v>
      </c>
      <c r="E22" s="13" t="s">
        <v>115</v>
      </c>
      <c r="F22" s="22" t="s">
        <v>9</v>
      </c>
      <c r="G22" s="13" t="s">
        <v>0</v>
      </c>
      <c r="H22" s="12" t="s">
        <v>421</v>
      </c>
      <c r="I22" s="11">
        <v>1000</v>
      </c>
      <c r="J22" s="10"/>
      <c r="K22" s="9">
        <v>1000</v>
      </c>
      <c r="L22" s="8">
        <f t="shared" si="0"/>
        <v>0</v>
      </c>
    </row>
    <row r="23" spans="1:12" ht="165.75" customHeight="1" thickBot="1" x14ac:dyDescent="0.3">
      <c r="A23" s="47"/>
      <c r="B23" s="24" t="s">
        <v>32</v>
      </c>
      <c r="C23" s="12" t="s">
        <v>31</v>
      </c>
      <c r="D23" s="12" t="s">
        <v>24</v>
      </c>
      <c r="E23" s="13" t="s">
        <v>116</v>
      </c>
      <c r="F23" s="22" t="s">
        <v>9</v>
      </c>
      <c r="G23" s="13" t="s">
        <v>0</v>
      </c>
      <c r="H23" s="12" t="s">
        <v>421</v>
      </c>
      <c r="I23" s="11">
        <v>1950</v>
      </c>
      <c r="J23" s="10"/>
      <c r="K23" s="9">
        <v>1950</v>
      </c>
      <c r="L23" s="8">
        <f t="shared" si="0"/>
        <v>0</v>
      </c>
    </row>
    <row r="24" spans="1:12" ht="165.75" customHeight="1" thickBot="1" x14ac:dyDescent="0.3">
      <c r="A24" s="47"/>
      <c r="B24" s="24" t="s">
        <v>32</v>
      </c>
      <c r="C24" s="12" t="s">
        <v>31</v>
      </c>
      <c r="D24" s="12" t="s">
        <v>24</v>
      </c>
      <c r="E24" s="13" t="s">
        <v>424</v>
      </c>
      <c r="F24" s="22" t="s">
        <v>4</v>
      </c>
      <c r="G24" s="13" t="s">
        <v>0</v>
      </c>
      <c r="H24" s="12" t="s">
        <v>411</v>
      </c>
      <c r="I24" s="11">
        <v>1210</v>
      </c>
      <c r="J24" s="10"/>
      <c r="K24" s="9">
        <v>1210</v>
      </c>
      <c r="L24" s="8">
        <f t="shared" si="0"/>
        <v>0</v>
      </c>
    </row>
    <row r="25" spans="1:12" ht="165.75" customHeight="1" thickBot="1" x14ac:dyDescent="0.3">
      <c r="A25" s="47"/>
      <c r="B25" s="24" t="s">
        <v>32</v>
      </c>
      <c r="C25" s="12" t="s">
        <v>31</v>
      </c>
      <c r="D25" s="12" t="s">
        <v>24</v>
      </c>
      <c r="E25" s="13" t="s">
        <v>78</v>
      </c>
      <c r="F25" s="22" t="s">
        <v>4</v>
      </c>
      <c r="G25" s="13" t="s">
        <v>0</v>
      </c>
      <c r="H25" s="12" t="s">
        <v>411</v>
      </c>
      <c r="I25" s="11">
        <v>2600</v>
      </c>
      <c r="J25" s="10"/>
      <c r="K25" s="9">
        <v>2600</v>
      </c>
      <c r="L25" s="8">
        <f t="shared" si="0"/>
        <v>0</v>
      </c>
    </row>
    <row r="26" spans="1:12" ht="165.75" customHeight="1" thickBot="1" x14ac:dyDescent="0.3">
      <c r="A26" s="47"/>
      <c r="B26" s="24" t="s">
        <v>66</v>
      </c>
      <c r="C26" s="12" t="s">
        <v>155</v>
      </c>
      <c r="D26" s="12" t="s">
        <v>24</v>
      </c>
      <c r="E26" s="13" t="s">
        <v>156</v>
      </c>
      <c r="F26" s="22" t="s">
        <v>4</v>
      </c>
      <c r="G26" s="13" t="s">
        <v>0</v>
      </c>
      <c r="H26" s="12" t="s">
        <v>411</v>
      </c>
      <c r="I26" s="11">
        <v>3000</v>
      </c>
      <c r="J26" s="10">
        <v>1000</v>
      </c>
      <c r="K26" s="9">
        <v>2000</v>
      </c>
      <c r="L26" s="8">
        <f t="shared" si="0"/>
        <v>0</v>
      </c>
    </row>
    <row r="27" spans="1:12" ht="165.75" customHeight="1" thickBot="1" x14ac:dyDescent="0.3">
      <c r="A27" s="47"/>
      <c r="B27" s="24" t="s">
        <v>66</v>
      </c>
      <c r="C27" s="12" t="s">
        <v>155</v>
      </c>
      <c r="D27" s="12" t="s">
        <v>24</v>
      </c>
      <c r="E27" s="13" t="s">
        <v>156</v>
      </c>
      <c r="F27" s="22" t="s">
        <v>4</v>
      </c>
      <c r="G27" s="13" t="s">
        <v>0</v>
      </c>
      <c r="H27" s="12" t="s">
        <v>411</v>
      </c>
      <c r="I27" s="11">
        <v>1000</v>
      </c>
      <c r="J27" s="10"/>
      <c r="K27" s="9">
        <v>1000</v>
      </c>
      <c r="L27" s="8">
        <f t="shared" si="0"/>
        <v>0</v>
      </c>
    </row>
    <row r="28" spans="1:12" ht="165.75" customHeight="1" thickBot="1" x14ac:dyDescent="0.3">
      <c r="A28" s="47"/>
      <c r="B28" s="24" t="s">
        <v>28</v>
      </c>
      <c r="C28" s="12" t="s">
        <v>73</v>
      </c>
      <c r="D28" s="12" t="s">
        <v>24</v>
      </c>
      <c r="E28" s="13" t="s">
        <v>432</v>
      </c>
      <c r="F28" s="22" t="s">
        <v>4</v>
      </c>
      <c r="G28" s="13" t="s">
        <v>37</v>
      </c>
      <c r="H28" s="12" t="s">
        <v>421</v>
      </c>
      <c r="I28" s="11">
        <v>371</v>
      </c>
      <c r="J28" s="10"/>
      <c r="K28" s="9">
        <v>371</v>
      </c>
      <c r="L28" s="8">
        <f t="shared" si="0"/>
        <v>0</v>
      </c>
    </row>
    <row r="29" spans="1:12" ht="165.75" customHeight="1" thickBot="1" x14ac:dyDescent="0.3">
      <c r="A29" s="47"/>
      <c r="B29" s="24" t="s">
        <v>28</v>
      </c>
      <c r="C29" s="12" t="s">
        <v>85</v>
      </c>
      <c r="D29" s="12" t="s">
        <v>24</v>
      </c>
      <c r="E29" s="13" t="s">
        <v>433</v>
      </c>
      <c r="F29" s="22" t="s">
        <v>4</v>
      </c>
      <c r="G29" s="13" t="s">
        <v>37</v>
      </c>
      <c r="H29" s="12" t="s">
        <v>421</v>
      </c>
      <c r="I29" s="11">
        <v>471</v>
      </c>
      <c r="J29" s="10"/>
      <c r="K29" s="9">
        <v>471</v>
      </c>
      <c r="L29" s="8">
        <f t="shared" si="0"/>
        <v>0</v>
      </c>
    </row>
    <row r="30" spans="1:12" ht="165.75" customHeight="1" thickBot="1" x14ac:dyDescent="0.3">
      <c r="A30" s="47"/>
      <c r="B30" s="24" t="s">
        <v>28</v>
      </c>
      <c r="C30" s="12" t="s">
        <v>85</v>
      </c>
      <c r="D30" s="12" t="s">
        <v>24</v>
      </c>
      <c r="E30" s="13" t="s">
        <v>434</v>
      </c>
      <c r="F30" s="22" t="s">
        <v>4</v>
      </c>
      <c r="G30" s="13" t="s">
        <v>37</v>
      </c>
      <c r="H30" s="12" t="s">
        <v>421</v>
      </c>
      <c r="I30" s="11">
        <v>28</v>
      </c>
      <c r="J30" s="10"/>
      <c r="K30" s="9">
        <v>28</v>
      </c>
      <c r="L30" s="8">
        <f t="shared" si="0"/>
        <v>0</v>
      </c>
    </row>
    <row r="31" spans="1:12" ht="165.75" customHeight="1" thickBot="1" x14ac:dyDescent="0.3">
      <c r="A31" s="47"/>
      <c r="B31" s="24" t="s">
        <v>28</v>
      </c>
      <c r="C31" s="12" t="s">
        <v>85</v>
      </c>
      <c r="D31" s="12" t="s">
        <v>24</v>
      </c>
      <c r="E31" s="13" t="s">
        <v>435</v>
      </c>
      <c r="F31" s="22" t="s">
        <v>4</v>
      </c>
      <c r="G31" s="13" t="s">
        <v>37</v>
      </c>
      <c r="H31" s="12" t="s">
        <v>421</v>
      </c>
      <c r="I31" s="11">
        <v>509</v>
      </c>
      <c r="J31" s="10"/>
      <c r="K31" s="9">
        <v>5098</v>
      </c>
      <c r="L31" s="8">
        <f t="shared" si="0"/>
        <v>4589</v>
      </c>
    </row>
    <row r="32" spans="1:12" ht="165.75" customHeight="1" thickBot="1" x14ac:dyDescent="0.3">
      <c r="A32" s="48"/>
      <c r="B32" s="24" t="s">
        <v>28</v>
      </c>
      <c r="C32" s="12" t="s">
        <v>85</v>
      </c>
      <c r="D32" s="12" t="s">
        <v>24</v>
      </c>
      <c r="E32" s="13" t="s">
        <v>89</v>
      </c>
      <c r="F32" s="22" t="s">
        <v>4</v>
      </c>
      <c r="G32" s="13" t="s">
        <v>37</v>
      </c>
      <c r="H32" s="12" t="s">
        <v>421</v>
      </c>
      <c r="I32" s="11">
        <v>90</v>
      </c>
      <c r="J32" s="10"/>
      <c r="K32" s="9">
        <v>90</v>
      </c>
      <c r="L32" s="8">
        <f t="shared" si="0"/>
        <v>0</v>
      </c>
    </row>
    <row r="33" spans="1:12" ht="165.75" customHeight="1" thickBot="1" x14ac:dyDescent="0.3">
      <c r="A33" s="46" t="s">
        <v>36</v>
      </c>
      <c r="B33" s="24" t="s">
        <v>35</v>
      </c>
      <c r="C33" s="12" t="s">
        <v>155</v>
      </c>
      <c r="D33" s="12" t="s">
        <v>24</v>
      </c>
      <c r="E33" s="13" t="s">
        <v>156</v>
      </c>
      <c r="F33" s="22" t="s">
        <v>4</v>
      </c>
      <c r="G33" s="13" t="s">
        <v>0</v>
      </c>
      <c r="H33" s="12" t="s">
        <v>411</v>
      </c>
      <c r="I33" s="11">
        <v>3000</v>
      </c>
      <c r="J33" s="10">
        <v>1000</v>
      </c>
      <c r="K33" s="9">
        <v>2000</v>
      </c>
      <c r="L33" s="8">
        <f t="shared" si="0"/>
        <v>0</v>
      </c>
    </row>
    <row r="34" spans="1:12" ht="165.75" customHeight="1" thickBot="1" x14ac:dyDescent="0.3">
      <c r="A34" s="47"/>
      <c r="B34" s="24" t="s">
        <v>35</v>
      </c>
      <c r="C34" s="12" t="s">
        <v>155</v>
      </c>
      <c r="D34" s="12" t="s">
        <v>24</v>
      </c>
      <c r="E34" s="13" t="s">
        <v>156</v>
      </c>
      <c r="F34" s="22" t="s">
        <v>4</v>
      </c>
      <c r="G34" s="13" t="s">
        <v>0</v>
      </c>
      <c r="H34" s="12" t="s">
        <v>411</v>
      </c>
      <c r="I34" s="11">
        <v>1000</v>
      </c>
      <c r="J34" s="10"/>
      <c r="K34" s="9">
        <v>1000</v>
      </c>
      <c r="L34" s="8">
        <f t="shared" si="0"/>
        <v>0</v>
      </c>
    </row>
    <row r="35" spans="1:12" ht="165.75" customHeight="1" thickBot="1" x14ac:dyDescent="0.3">
      <c r="A35" s="47"/>
      <c r="B35" s="24" t="s">
        <v>28</v>
      </c>
      <c r="C35" s="12" t="s">
        <v>34</v>
      </c>
      <c r="D35" s="12" t="s">
        <v>24</v>
      </c>
      <c r="E35" s="13" t="s">
        <v>33</v>
      </c>
      <c r="F35" s="22" t="s">
        <v>4</v>
      </c>
      <c r="G35" s="13" t="s">
        <v>0</v>
      </c>
      <c r="H35" s="12" t="s">
        <v>411</v>
      </c>
      <c r="I35" s="11">
        <v>3000</v>
      </c>
      <c r="J35" s="10">
        <v>1000</v>
      </c>
      <c r="K35" s="9">
        <v>2000</v>
      </c>
      <c r="L35" s="8">
        <f t="shared" si="0"/>
        <v>0</v>
      </c>
    </row>
    <row r="36" spans="1:12" ht="165.75" customHeight="1" thickBot="1" x14ac:dyDescent="0.3">
      <c r="A36" s="47"/>
      <c r="B36" s="24" t="s">
        <v>61</v>
      </c>
      <c r="C36" s="12" t="s">
        <v>31</v>
      </c>
      <c r="D36" s="12" t="s">
        <v>24</v>
      </c>
      <c r="E36" s="13" t="s">
        <v>116</v>
      </c>
      <c r="F36" s="22" t="s">
        <v>9</v>
      </c>
      <c r="G36" s="13" t="s">
        <v>0</v>
      </c>
      <c r="H36" s="12" t="s">
        <v>421</v>
      </c>
      <c r="I36" s="11">
        <v>1950</v>
      </c>
      <c r="J36" s="10"/>
      <c r="K36" s="9">
        <v>1950</v>
      </c>
      <c r="L36" s="8">
        <f t="shared" si="0"/>
        <v>0</v>
      </c>
    </row>
    <row r="37" spans="1:12" ht="165.75" customHeight="1" thickBot="1" x14ac:dyDescent="0.3">
      <c r="A37" s="47"/>
      <c r="B37" s="24" t="s">
        <v>61</v>
      </c>
      <c r="C37" s="12" t="s">
        <v>31</v>
      </c>
      <c r="D37" s="12" t="s">
        <v>24</v>
      </c>
      <c r="E37" s="13" t="s">
        <v>424</v>
      </c>
      <c r="F37" s="22" t="s">
        <v>4</v>
      </c>
      <c r="G37" s="13" t="s">
        <v>0</v>
      </c>
      <c r="H37" s="12" t="s">
        <v>411</v>
      </c>
      <c r="I37" s="11">
        <v>1210</v>
      </c>
      <c r="J37" s="10"/>
      <c r="K37" s="9">
        <v>1210</v>
      </c>
      <c r="L37" s="8">
        <f t="shared" si="0"/>
        <v>0</v>
      </c>
    </row>
    <row r="38" spans="1:12" ht="165.75" customHeight="1" thickBot="1" x14ac:dyDescent="0.3">
      <c r="A38" s="47"/>
      <c r="B38" s="24" t="s">
        <v>32</v>
      </c>
      <c r="C38" s="12" t="s">
        <v>31</v>
      </c>
      <c r="D38" s="12" t="s">
        <v>24</v>
      </c>
      <c r="E38" s="13" t="s">
        <v>78</v>
      </c>
      <c r="F38" s="22" t="s">
        <v>4</v>
      </c>
      <c r="G38" s="13" t="s">
        <v>0</v>
      </c>
      <c r="H38" s="12" t="s">
        <v>411</v>
      </c>
      <c r="I38" s="11">
        <v>2600</v>
      </c>
      <c r="J38" s="10"/>
      <c r="K38" s="9">
        <v>2600</v>
      </c>
      <c r="L38" s="8">
        <f t="shared" si="0"/>
        <v>0</v>
      </c>
    </row>
    <row r="39" spans="1:12" ht="165.75" customHeight="1" thickBot="1" x14ac:dyDescent="0.3">
      <c r="A39" s="47"/>
      <c r="B39" s="24" t="s">
        <v>284</v>
      </c>
      <c r="C39" s="12" t="s">
        <v>113</v>
      </c>
      <c r="D39" s="12" t="s">
        <v>24</v>
      </c>
      <c r="E39" s="13" t="s">
        <v>114</v>
      </c>
      <c r="F39" s="22" t="s">
        <v>4</v>
      </c>
      <c r="G39" s="13" t="s">
        <v>0</v>
      </c>
      <c r="H39" s="12" t="s">
        <v>411</v>
      </c>
      <c r="I39" s="11">
        <v>1942</v>
      </c>
      <c r="J39" s="10"/>
      <c r="K39" s="9">
        <v>1942</v>
      </c>
      <c r="L39" s="8">
        <f t="shared" si="0"/>
        <v>0</v>
      </c>
    </row>
    <row r="40" spans="1:12" ht="165.75" customHeight="1" thickBot="1" x14ac:dyDescent="0.3">
      <c r="A40" s="47"/>
      <c r="B40" s="24" t="s">
        <v>284</v>
      </c>
      <c r="C40" s="12" t="s">
        <v>113</v>
      </c>
      <c r="D40" s="12" t="s">
        <v>24</v>
      </c>
      <c r="E40" s="13" t="s">
        <v>115</v>
      </c>
      <c r="F40" s="22" t="s">
        <v>9</v>
      </c>
      <c r="G40" s="13" t="s">
        <v>0</v>
      </c>
      <c r="H40" s="12" t="s">
        <v>421</v>
      </c>
      <c r="I40" s="11">
        <v>1000</v>
      </c>
      <c r="J40" s="10"/>
      <c r="K40" s="9">
        <v>1000</v>
      </c>
      <c r="L40" s="8">
        <f t="shared" si="0"/>
        <v>0</v>
      </c>
    </row>
    <row r="41" spans="1:12" ht="165.75" customHeight="1" thickBot="1" x14ac:dyDescent="0.3">
      <c r="A41" s="47"/>
      <c r="B41" s="24" t="s">
        <v>284</v>
      </c>
      <c r="C41" s="12" t="s">
        <v>113</v>
      </c>
      <c r="D41" s="12" t="s">
        <v>24</v>
      </c>
      <c r="E41" s="13" t="s">
        <v>115</v>
      </c>
      <c r="F41" s="22" t="s">
        <v>9</v>
      </c>
      <c r="G41" s="13" t="s">
        <v>0</v>
      </c>
      <c r="H41" s="12" t="s">
        <v>421</v>
      </c>
      <c r="I41" s="11">
        <v>1000</v>
      </c>
      <c r="J41" s="10"/>
      <c r="K41" s="9">
        <v>1000</v>
      </c>
      <c r="L41" s="8">
        <f t="shared" si="0"/>
        <v>0</v>
      </c>
    </row>
    <row r="42" spans="1:12" ht="165.75" customHeight="1" thickBot="1" x14ac:dyDescent="0.3">
      <c r="A42" s="47"/>
      <c r="B42" s="24" t="s">
        <v>95</v>
      </c>
      <c r="C42" s="12" t="s">
        <v>15</v>
      </c>
      <c r="D42" s="12" t="s">
        <v>24</v>
      </c>
      <c r="E42" s="13" t="s">
        <v>96</v>
      </c>
      <c r="F42" s="22" t="s">
        <v>4</v>
      </c>
      <c r="G42" s="13" t="s">
        <v>0</v>
      </c>
      <c r="H42" s="12" t="s">
        <v>411</v>
      </c>
      <c r="I42" s="11">
        <v>3000</v>
      </c>
      <c r="J42" s="10">
        <v>1000</v>
      </c>
      <c r="K42" s="9">
        <v>2000</v>
      </c>
      <c r="L42" s="8">
        <f t="shared" si="0"/>
        <v>0</v>
      </c>
    </row>
    <row r="43" spans="1:12" ht="165.75" customHeight="1" thickBot="1" x14ac:dyDescent="0.3">
      <c r="A43" s="47"/>
      <c r="B43" s="24" t="s">
        <v>95</v>
      </c>
      <c r="C43" s="12" t="s">
        <v>15</v>
      </c>
      <c r="D43" s="12" t="s">
        <v>24</v>
      </c>
      <c r="E43" s="13" t="s">
        <v>96</v>
      </c>
      <c r="F43" s="22" t="s">
        <v>4</v>
      </c>
      <c r="G43" s="13" t="s">
        <v>0</v>
      </c>
      <c r="H43" s="12" t="s">
        <v>411</v>
      </c>
      <c r="I43" s="11">
        <v>850</v>
      </c>
      <c r="J43" s="10"/>
      <c r="K43" s="9">
        <v>850</v>
      </c>
      <c r="L43" s="8">
        <f t="shared" si="0"/>
        <v>0</v>
      </c>
    </row>
    <row r="44" spans="1:12" ht="165.75" customHeight="1" thickBot="1" x14ac:dyDescent="0.3">
      <c r="A44" s="47"/>
      <c r="B44" s="24" t="s">
        <v>38</v>
      </c>
      <c r="C44" s="12" t="s">
        <v>27</v>
      </c>
      <c r="D44" s="12" t="s">
        <v>24</v>
      </c>
      <c r="E44" s="13" t="s">
        <v>111</v>
      </c>
      <c r="F44" s="22" t="s">
        <v>4</v>
      </c>
      <c r="G44" s="13" t="s">
        <v>0</v>
      </c>
      <c r="H44" s="12" t="s">
        <v>411</v>
      </c>
      <c r="I44" s="11">
        <v>3970</v>
      </c>
      <c r="J44" s="10">
        <v>1000</v>
      </c>
      <c r="K44" s="9">
        <v>2970</v>
      </c>
      <c r="L44" s="8">
        <f t="shared" si="0"/>
        <v>0</v>
      </c>
    </row>
    <row r="45" spans="1:12" ht="165.75" customHeight="1" thickBot="1" x14ac:dyDescent="0.3">
      <c r="A45" s="48"/>
      <c r="B45" s="24" t="s">
        <v>77</v>
      </c>
      <c r="C45" s="12" t="s">
        <v>27</v>
      </c>
      <c r="D45" s="12" t="s">
        <v>24</v>
      </c>
      <c r="E45" s="13" t="s">
        <v>423</v>
      </c>
      <c r="F45" s="22" t="s">
        <v>9</v>
      </c>
      <c r="G45" s="13" t="s">
        <v>0</v>
      </c>
      <c r="H45" s="12" t="s">
        <v>421</v>
      </c>
      <c r="I45" s="11">
        <v>2000</v>
      </c>
      <c r="J45" s="10"/>
      <c r="K45" s="9">
        <v>2000</v>
      </c>
      <c r="L45" s="8">
        <f t="shared" si="0"/>
        <v>0</v>
      </c>
    </row>
    <row r="46" spans="1:12" ht="165.75" customHeight="1" thickBot="1" x14ac:dyDescent="0.3">
      <c r="A46" s="46" t="s">
        <v>23</v>
      </c>
      <c r="B46" s="24" t="s">
        <v>12</v>
      </c>
      <c r="C46" s="12" t="s">
        <v>6</v>
      </c>
      <c r="D46" s="12" t="s">
        <v>20</v>
      </c>
      <c r="E46" s="13" t="s">
        <v>22</v>
      </c>
      <c r="F46" s="22" t="s">
        <v>4</v>
      </c>
      <c r="G46" s="13" t="s">
        <v>0</v>
      </c>
      <c r="H46" s="12" t="s">
        <v>411</v>
      </c>
      <c r="I46" s="11">
        <v>2000</v>
      </c>
      <c r="J46" s="10"/>
      <c r="K46" s="9">
        <v>2000</v>
      </c>
      <c r="L46" s="8">
        <f t="shared" si="0"/>
        <v>0</v>
      </c>
    </row>
    <row r="47" spans="1:12" ht="165.75" customHeight="1" thickBot="1" x14ac:dyDescent="0.3">
      <c r="A47" s="47"/>
      <c r="B47" s="24" t="s">
        <v>12</v>
      </c>
      <c r="C47" s="12" t="s">
        <v>6</v>
      </c>
      <c r="D47" s="12" t="s">
        <v>20</v>
      </c>
      <c r="E47" s="13" t="s">
        <v>22</v>
      </c>
      <c r="F47" s="22" t="s">
        <v>4</v>
      </c>
      <c r="G47" s="13" t="s">
        <v>0</v>
      </c>
      <c r="H47" s="12" t="s">
        <v>411</v>
      </c>
      <c r="I47" s="11">
        <v>2560</v>
      </c>
      <c r="J47" s="10"/>
      <c r="K47" s="9">
        <v>2560</v>
      </c>
      <c r="L47" s="8">
        <f t="shared" si="0"/>
        <v>0</v>
      </c>
    </row>
    <row r="48" spans="1:12" ht="165.75" customHeight="1" thickBot="1" x14ac:dyDescent="0.3">
      <c r="A48" s="47"/>
      <c r="B48" s="24" t="s">
        <v>21</v>
      </c>
      <c r="C48" s="12" t="s">
        <v>3</v>
      </c>
      <c r="D48" s="12" t="s">
        <v>20</v>
      </c>
      <c r="E48" s="13" t="s">
        <v>56</v>
      </c>
      <c r="F48" s="22" t="s">
        <v>9</v>
      </c>
      <c r="G48" s="13" t="s">
        <v>0</v>
      </c>
      <c r="H48" s="12" t="s">
        <v>411</v>
      </c>
      <c r="I48" s="11">
        <v>10000</v>
      </c>
      <c r="J48" s="10"/>
      <c r="K48" s="9">
        <v>10000</v>
      </c>
      <c r="L48" s="8">
        <f t="shared" si="0"/>
        <v>0</v>
      </c>
    </row>
    <row r="49" spans="1:12" ht="165.75" customHeight="1" thickBot="1" x14ac:dyDescent="0.3">
      <c r="A49" s="48"/>
      <c r="B49" s="24" t="s">
        <v>21</v>
      </c>
      <c r="C49" s="12" t="s">
        <v>3</v>
      </c>
      <c r="D49" s="12" t="s">
        <v>20</v>
      </c>
      <c r="E49" s="13" t="s">
        <v>56</v>
      </c>
      <c r="F49" s="22" t="s">
        <v>9</v>
      </c>
      <c r="G49" s="13" t="s">
        <v>0</v>
      </c>
      <c r="H49" s="12" t="s">
        <v>421</v>
      </c>
      <c r="I49" s="11">
        <v>7000</v>
      </c>
      <c r="J49" s="10"/>
      <c r="K49" s="9">
        <v>7000</v>
      </c>
      <c r="L49" s="8">
        <f t="shared" si="0"/>
        <v>0</v>
      </c>
    </row>
    <row r="50" spans="1:12" ht="165.75" customHeight="1" thickBot="1" x14ac:dyDescent="0.3">
      <c r="A50" s="46" t="s">
        <v>19</v>
      </c>
      <c r="B50" s="24" t="s">
        <v>18</v>
      </c>
      <c r="C50" s="12" t="s">
        <v>17</v>
      </c>
      <c r="D50" s="12" t="s">
        <v>14</v>
      </c>
      <c r="E50" s="13" t="s">
        <v>16</v>
      </c>
      <c r="F50" s="22" t="s">
        <v>380</v>
      </c>
      <c r="G50" s="13" t="s">
        <v>0</v>
      </c>
      <c r="H50" s="12" t="s">
        <v>411</v>
      </c>
      <c r="I50" s="11">
        <v>2000</v>
      </c>
      <c r="J50" s="10">
        <v>1000</v>
      </c>
      <c r="K50" s="9">
        <v>1000</v>
      </c>
      <c r="L50" s="8">
        <f t="shared" si="0"/>
        <v>0</v>
      </c>
    </row>
    <row r="51" spans="1:12" ht="165.75" customHeight="1" thickBot="1" x14ac:dyDescent="0.3">
      <c r="A51" s="47"/>
      <c r="B51" s="24" t="s">
        <v>18</v>
      </c>
      <c r="C51" s="12" t="s">
        <v>17</v>
      </c>
      <c r="D51" s="12" t="s">
        <v>14</v>
      </c>
      <c r="E51" s="13" t="s">
        <v>16</v>
      </c>
      <c r="F51" s="22" t="s">
        <v>4</v>
      </c>
      <c r="G51" s="13" t="s">
        <v>0</v>
      </c>
      <c r="H51" s="12" t="s">
        <v>411</v>
      </c>
      <c r="I51" s="11">
        <v>1018</v>
      </c>
      <c r="J51" s="10"/>
      <c r="K51" s="9">
        <v>1018</v>
      </c>
      <c r="L51" s="8">
        <f t="shared" si="0"/>
        <v>0</v>
      </c>
    </row>
    <row r="52" spans="1:12" ht="165.75" customHeight="1" thickBot="1" x14ac:dyDescent="0.3">
      <c r="A52" s="47"/>
      <c r="B52" s="24" t="s">
        <v>12</v>
      </c>
      <c r="C52" s="12" t="s">
        <v>105</v>
      </c>
      <c r="D52" s="12" t="s">
        <v>120</v>
      </c>
      <c r="E52" s="13" t="s">
        <v>217</v>
      </c>
      <c r="F52" s="22" t="s">
        <v>122</v>
      </c>
      <c r="G52" s="13" t="s">
        <v>0</v>
      </c>
      <c r="H52" s="12" t="s">
        <v>421</v>
      </c>
      <c r="I52" s="11">
        <v>2000</v>
      </c>
      <c r="J52" s="10"/>
      <c r="K52" s="9">
        <v>2000</v>
      </c>
      <c r="L52" s="8">
        <f t="shared" si="0"/>
        <v>0</v>
      </c>
    </row>
    <row r="53" spans="1:12" ht="165.75" customHeight="1" thickBot="1" x14ac:dyDescent="0.3">
      <c r="A53" s="47"/>
      <c r="B53" s="24" t="s">
        <v>7</v>
      </c>
      <c r="C53" s="12" t="s">
        <v>17</v>
      </c>
      <c r="D53" s="12" t="s">
        <v>120</v>
      </c>
      <c r="E53" s="13" t="s">
        <v>121</v>
      </c>
      <c r="F53" s="22" t="s">
        <v>122</v>
      </c>
      <c r="G53" s="13" t="s">
        <v>0</v>
      </c>
      <c r="H53" s="12" t="s">
        <v>421</v>
      </c>
      <c r="I53" s="11">
        <v>4000</v>
      </c>
      <c r="J53" s="10"/>
      <c r="K53" s="9">
        <v>4000</v>
      </c>
      <c r="L53" s="8">
        <f t="shared" si="0"/>
        <v>0</v>
      </c>
    </row>
    <row r="54" spans="1:12" ht="165.75" customHeight="1" thickBot="1" x14ac:dyDescent="0.3">
      <c r="A54" s="47"/>
      <c r="B54" s="24" t="s">
        <v>7</v>
      </c>
      <c r="C54" s="12" t="s">
        <v>15</v>
      </c>
      <c r="D54" s="12" t="s">
        <v>14</v>
      </c>
      <c r="E54" s="13" t="s">
        <v>65</v>
      </c>
      <c r="F54" s="22" t="s">
        <v>4</v>
      </c>
      <c r="G54" s="13" t="s">
        <v>0</v>
      </c>
      <c r="H54" s="12" t="s">
        <v>411</v>
      </c>
      <c r="I54" s="11">
        <v>80</v>
      </c>
      <c r="J54" s="10"/>
      <c r="K54" s="9">
        <v>80</v>
      </c>
      <c r="L54" s="8">
        <f t="shared" si="0"/>
        <v>0</v>
      </c>
    </row>
    <row r="55" spans="1:12" ht="165.75" customHeight="1" thickBot="1" x14ac:dyDescent="0.3">
      <c r="A55" s="47"/>
      <c r="B55" s="24" t="s">
        <v>7</v>
      </c>
      <c r="C55" s="12" t="s">
        <v>15</v>
      </c>
      <c r="D55" s="12" t="s">
        <v>14</v>
      </c>
      <c r="E55" s="13" t="s">
        <v>58</v>
      </c>
      <c r="F55" s="22" t="s">
        <v>4</v>
      </c>
      <c r="G55" s="13" t="s">
        <v>0</v>
      </c>
      <c r="H55" s="12" t="s">
        <v>411</v>
      </c>
      <c r="I55" s="11">
        <v>930</v>
      </c>
      <c r="J55" s="10"/>
      <c r="K55" s="9">
        <v>930</v>
      </c>
      <c r="L55" s="8">
        <f t="shared" si="0"/>
        <v>0</v>
      </c>
    </row>
    <row r="56" spans="1:12" ht="165.75" customHeight="1" thickBot="1" x14ac:dyDescent="0.3">
      <c r="A56" s="47"/>
      <c r="B56" s="24" t="s">
        <v>7</v>
      </c>
      <c r="C56" s="12" t="s">
        <v>15</v>
      </c>
      <c r="D56" s="12" t="s">
        <v>14</v>
      </c>
      <c r="E56" s="13" t="s">
        <v>13</v>
      </c>
      <c r="F56" s="22" t="s">
        <v>4</v>
      </c>
      <c r="G56" s="13" t="s">
        <v>0</v>
      </c>
      <c r="H56" s="12" t="s">
        <v>411</v>
      </c>
      <c r="I56" s="11">
        <v>3470</v>
      </c>
      <c r="J56" s="10"/>
      <c r="K56" s="9">
        <v>3470</v>
      </c>
      <c r="L56" s="8">
        <f t="shared" si="0"/>
        <v>0</v>
      </c>
    </row>
    <row r="57" spans="1:12" ht="165.75" customHeight="1" thickBot="1" x14ac:dyDescent="0.3">
      <c r="A57" s="47"/>
      <c r="B57" s="24" t="s">
        <v>12</v>
      </c>
      <c r="C57" s="12" t="s">
        <v>3</v>
      </c>
      <c r="D57" s="12" t="s">
        <v>11</v>
      </c>
      <c r="E57" s="13" t="s">
        <v>10</v>
      </c>
      <c r="F57" s="22" t="s">
        <v>4</v>
      </c>
      <c r="G57" s="13" t="s">
        <v>0</v>
      </c>
      <c r="H57" s="12" t="s">
        <v>411</v>
      </c>
      <c r="I57" s="11">
        <v>11675</v>
      </c>
      <c r="J57" s="10"/>
      <c r="K57" s="9">
        <v>11675</v>
      </c>
      <c r="L57" s="8">
        <f t="shared" si="0"/>
        <v>0</v>
      </c>
    </row>
    <row r="58" spans="1:12" ht="165.75" customHeight="1" thickBot="1" x14ac:dyDescent="0.3">
      <c r="A58" s="47"/>
      <c r="B58" s="24" t="s">
        <v>12</v>
      </c>
      <c r="C58" s="12" t="s">
        <v>3</v>
      </c>
      <c r="D58" s="12" t="s">
        <v>11</v>
      </c>
      <c r="E58" s="13" t="s">
        <v>10</v>
      </c>
      <c r="F58" s="22" t="s">
        <v>9</v>
      </c>
      <c r="G58" s="13" t="s">
        <v>0</v>
      </c>
      <c r="H58" s="12" t="s">
        <v>421</v>
      </c>
      <c r="I58" s="11">
        <v>5000</v>
      </c>
      <c r="J58" s="10"/>
      <c r="K58" s="9">
        <v>5000</v>
      </c>
      <c r="L58" s="8">
        <f t="shared" si="0"/>
        <v>0</v>
      </c>
    </row>
    <row r="59" spans="1:12" ht="165.75" customHeight="1" thickBot="1" x14ac:dyDescent="0.3">
      <c r="A59" s="47"/>
      <c r="B59" s="24" t="s">
        <v>7</v>
      </c>
      <c r="C59" s="12" t="s">
        <v>6</v>
      </c>
      <c r="D59" s="12" t="s">
        <v>1</v>
      </c>
      <c r="E59" s="13" t="s">
        <v>5</v>
      </c>
      <c r="F59" s="22" t="s">
        <v>4</v>
      </c>
      <c r="G59" s="13" t="s">
        <v>0</v>
      </c>
      <c r="H59" s="12" t="s">
        <v>411</v>
      </c>
      <c r="I59" s="11">
        <v>4740</v>
      </c>
      <c r="J59" s="10">
        <v>1000</v>
      </c>
      <c r="K59" s="9">
        <v>3740</v>
      </c>
      <c r="L59" s="8">
        <f t="shared" si="0"/>
        <v>0</v>
      </c>
    </row>
    <row r="60" spans="1:12" ht="165.75" customHeight="1" thickBot="1" x14ac:dyDescent="0.3">
      <c r="A60" s="47"/>
      <c r="B60" s="24" t="s">
        <v>194</v>
      </c>
      <c r="C60" s="12" t="s">
        <v>3</v>
      </c>
      <c r="D60" s="12" t="s">
        <v>1</v>
      </c>
      <c r="E60" s="13" t="s">
        <v>195</v>
      </c>
      <c r="F60" s="22" t="s">
        <v>122</v>
      </c>
      <c r="G60" s="13" t="s">
        <v>0</v>
      </c>
      <c r="H60" s="12" t="s">
        <v>421</v>
      </c>
      <c r="I60" s="11">
        <v>5000</v>
      </c>
      <c r="J60" s="10"/>
      <c r="K60" s="9">
        <v>5000</v>
      </c>
      <c r="L60" s="8">
        <f t="shared" si="0"/>
        <v>0</v>
      </c>
    </row>
    <row r="61" spans="1:12" ht="165.75" customHeight="1" thickBot="1" x14ac:dyDescent="0.3">
      <c r="A61" s="48"/>
      <c r="B61" s="24" t="s">
        <v>194</v>
      </c>
      <c r="C61" s="12" t="s">
        <v>118</v>
      </c>
      <c r="D61" s="12" t="s">
        <v>1</v>
      </c>
      <c r="E61" s="13" t="s">
        <v>216</v>
      </c>
      <c r="F61" s="22" t="s">
        <v>122</v>
      </c>
      <c r="G61" s="13" t="s">
        <v>0</v>
      </c>
      <c r="H61" s="12" t="s">
        <v>421</v>
      </c>
      <c r="I61" s="11">
        <v>2000</v>
      </c>
      <c r="J61" s="10">
        <v>1000</v>
      </c>
      <c r="K61" s="9">
        <v>1000</v>
      </c>
      <c r="L61" s="8">
        <f t="shared" si="0"/>
        <v>0</v>
      </c>
    </row>
  </sheetData>
  <autoFilter ref="A2:L36"/>
  <dataConsolidate/>
  <mergeCells count="5">
    <mergeCell ref="A33:A45"/>
    <mergeCell ref="A46:A49"/>
    <mergeCell ref="A50:A61"/>
    <mergeCell ref="A1:L1"/>
    <mergeCell ref="A3:A32"/>
  </mergeCells>
  <conditionalFormatting sqref="L30:L33 I2:I29 K3:L29">
    <cfRule type="cellIs" dxfId="36" priority="7" operator="lessThan">
      <formula>0</formula>
    </cfRule>
  </conditionalFormatting>
  <conditionalFormatting sqref="L2">
    <cfRule type="cellIs" dxfId="35" priority="6" operator="lessThan">
      <formula>0</formula>
    </cfRule>
  </conditionalFormatting>
  <conditionalFormatting sqref="I30:I33 K30:K33">
    <cfRule type="cellIs" dxfId="34" priority="5" operator="lessThan">
      <formula>0</formula>
    </cfRule>
  </conditionalFormatting>
  <conditionalFormatting sqref="L34:L61">
    <cfRule type="cellIs" dxfId="33" priority="4" operator="lessThan">
      <formula>0</formula>
    </cfRule>
  </conditionalFormatting>
  <conditionalFormatting sqref="I34:I44 K34:K44">
    <cfRule type="cellIs" dxfId="32" priority="3" operator="lessThan">
      <formula>0</formula>
    </cfRule>
  </conditionalFormatting>
  <conditionalFormatting sqref="I45:I61 K45:K61">
    <cfRule type="cellIs" dxfId="31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21"/>
  <sheetViews>
    <sheetView showGridLines="0" view="pageBreakPreview" topLeftCell="A13" zoomScale="20" zoomScaleNormal="15" zoomScaleSheetLayoutView="20" workbookViewId="0">
      <selection activeCell="K8" sqref="K8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429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3</v>
      </c>
      <c r="D3" s="12" t="s">
        <v>126</v>
      </c>
      <c r="E3" s="13" t="s">
        <v>422</v>
      </c>
      <c r="F3" s="22" t="s">
        <v>122</v>
      </c>
      <c r="G3" s="13" t="s">
        <v>0</v>
      </c>
      <c r="H3" s="12" t="s">
        <v>421</v>
      </c>
      <c r="I3" s="11">
        <v>1000</v>
      </c>
      <c r="J3" s="10"/>
      <c r="K3" s="9">
        <v>1000</v>
      </c>
      <c r="L3" s="8">
        <f t="shared" ref="L3:L21" si="0">K3+J3-I3</f>
        <v>0</v>
      </c>
    </row>
    <row r="4" spans="1:12" ht="162" customHeight="1" thickBot="1" x14ac:dyDescent="0.3">
      <c r="A4" s="47"/>
      <c r="B4" s="13" t="s">
        <v>136</v>
      </c>
      <c r="C4" s="12" t="s">
        <v>3</v>
      </c>
      <c r="D4" s="12" t="s">
        <v>126</v>
      </c>
      <c r="E4" s="13" t="s">
        <v>392</v>
      </c>
      <c r="F4" s="22" t="s">
        <v>122</v>
      </c>
      <c r="G4" s="13" t="s">
        <v>0</v>
      </c>
      <c r="H4" s="12" t="s">
        <v>421</v>
      </c>
      <c r="I4" s="11">
        <v>3000</v>
      </c>
      <c r="J4" s="10"/>
      <c r="K4" s="9">
        <v>3000</v>
      </c>
      <c r="L4" s="8">
        <f t="shared" si="0"/>
        <v>0</v>
      </c>
    </row>
    <row r="5" spans="1:12" ht="162" customHeight="1" thickBot="1" x14ac:dyDescent="0.3">
      <c r="A5" s="47"/>
      <c r="B5" s="13" t="s">
        <v>325</v>
      </c>
      <c r="C5" s="12" t="s">
        <v>34</v>
      </c>
      <c r="D5" s="12" t="s">
        <v>24</v>
      </c>
      <c r="E5" s="13" t="s">
        <v>33</v>
      </c>
      <c r="F5" s="22" t="s">
        <v>4</v>
      </c>
      <c r="G5" s="13" t="s">
        <v>0</v>
      </c>
      <c r="H5" s="12" t="s">
        <v>411</v>
      </c>
      <c r="I5" s="11">
        <v>2724</v>
      </c>
      <c r="J5" s="10">
        <v>1000</v>
      </c>
      <c r="K5" s="9">
        <v>1724</v>
      </c>
      <c r="L5" s="8">
        <f t="shared" si="0"/>
        <v>0</v>
      </c>
    </row>
    <row r="6" spans="1:12" ht="162" customHeight="1" thickBot="1" x14ac:dyDescent="0.3">
      <c r="A6" s="47"/>
      <c r="B6" s="13" t="s">
        <v>38</v>
      </c>
      <c r="C6" s="12" t="s">
        <v>27</v>
      </c>
      <c r="D6" s="12" t="s">
        <v>24</v>
      </c>
      <c r="E6" s="13" t="s">
        <v>423</v>
      </c>
      <c r="F6" s="22" t="s">
        <v>9</v>
      </c>
      <c r="G6" s="13" t="s">
        <v>0</v>
      </c>
      <c r="H6" s="12" t="s">
        <v>421</v>
      </c>
      <c r="I6" s="11">
        <v>1000</v>
      </c>
      <c r="J6" s="10"/>
      <c r="K6" s="9">
        <v>1000</v>
      </c>
      <c r="L6" s="8">
        <f t="shared" si="0"/>
        <v>0</v>
      </c>
    </row>
    <row r="7" spans="1:12" ht="162" customHeight="1" thickBot="1" x14ac:dyDescent="0.3">
      <c r="A7" s="47"/>
      <c r="B7" s="13" t="s">
        <v>371</v>
      </c>
      <c r="C7" s="12" t="s">
        <v>113</v>
      </c>
      <c r="D7" s="12" t="s">
        <v>24</v>
      </c>
      <c r="E7" s="13" t="s">
        <v>115</v>
      </c>
      <c r="F7" s="22" t="s">
        <v>9</v>
      </c>
      <c r="G7" s="13" t="s">
        <v>0</v>
      </c>
      <c r="H7" s="12" t="s">
        <v>421</v>
      </c>
      <c r="I7" s="11">
        <v>2000</v>
      </c>
      <c r="J7" s="10"/>
      <c r="K7" s="9">
        <v>2000</v>
      </c>
      <c r="L7" s="8">
        <f t="shared" si="0"/>
        <v>0</v>
      </c>
    </row>
    <row r="8" spans="1:12" ht="162" customHeight="1" thickBot="1" x14ac:dyDescent="0.3">
      <c r="A8" s="48"/>
      <c r="B8" s="13" t="s">
        <v>66</v>
      </c>
      <c r="C8" s="12" t="s">
        <v>155</v>
      </c>
      <c r="D8" s="12" t="s">
        <v>24</v>
      </c>
      <c r="E8" s="13" t="s">
        <v>156</v>
      </c>
      <c r="F8" s="22" t="s">
        <v>4</v>
      </c>
      <c r="G8" s="13" t="s">
        <v>0</v>
      </c>
      <c r="H8" s="12" t="s">
        <v>411</v>
      </c>
      <c r="I8" s="11">
        <v>1790</v>
      </c>
      <c r="J8" s="10">
        <v>500</v>
      </c>
      <c r="K8" s="9">
        <v>1290</v>
      </c>
      <c r="L8" s="8">
        <f t="shared" si="0"/>
        <v>0</v>
      </c>
    </row>
    <row r="9" spans="1:12" ht="162" customHeight="1" thickBot="1" x14ac:dyDescent="0.3">
      <c r="A9" s="46" t="s">
        <v>36</v>
      </c>
      <c r="B9" s="13" t="s">
        <v>35</v>
      </c>
      <c r="C9" s="12" t="s">
        <v>155</v>
      </c>
      <c r="D9" s="12" t="s">
        <v>24</v>
      </c>
      <c r="E9" s="13" t="s">
        <v>156</v>
      </c>
      <c r="F9" s="22" t="s">
        <v>4</v>
      </c>
      <c r="G9" s="13" t="s">
        <v>0</v>
      </c>
      <c r="H9" s="12" t="s">
        <v>411</v>
      </c>
      <c r="I9" s="11">
        <v>1790</v>
      </c>
      <c r="J9" s="10">
        <v>500</v>
      </c>
      <c r="K9" s="9">
        <v>1290</v>
      </c>
      <c r="L9" s="8">
        <f t="shared" si="0"/>
        <v>0</v>
      </c>
    </row>
    <row r="10" spans="1:12" ht="162" customHeight="1" thickBot="1" x14ac:dyDescent="0.3">
      <c r="A10" s="47"/>
      <c r="B10" s="13" t="s">
        <v>28</v>
      </c>
      <c r="C10" s="12" t="s">
        <v>34</v>
      </c>
      <c r="D10" s="12" t="s">
        <v>24</v>
      </c>
      <c r="E10" s="13" t="s">
        <v>33</v>
      </c>
      <c r="F10" s="22" t="s">
        <v>4</v>
      </c>
      <c r="G10" s="13" t="s">
        <v>0</v>
      </c>
      <c r="H10" s="12" t="s">
        <v>411</v>
      </c>
      <c r="I10" s="11">
        <v>3724</v>
      </c>
      <c r="J10" s="10">
        <v>1000</v>
      </c>
      <c r="K10" s="9">
        <v>2724</v>
      </c>
      <c r="L10" s="8">
        <f t="shared" si="0"/>
        <v>0</v>
      </c>
    </row>
    <row r="11" spans="1:12" ht="162" customHeight="1" thickBot="1" x14ac:dyDescent="0.3">
      <c r="A11" s="47"/>
      <c r="B11" s="13" t="s">
        <v>284</v>
      </c>
      <c r="C11" s="12" t="s">
        <v>113</v>
      </c>
      <c r="D11" s="12" t="s">
        <v>24</v>
      </c>
      <c r="E11" s="13" t="s">
        <v>115</v>
      </c>
      <c r="F11" s="22" t="s">
        <v>9</v>
      </c>
      <c r="G11" s="13" t="s">
        <v>0</v>
      </c>
      <c r="H11" s="12" t="s">
        <v>421</v>
      </c>
      <c r="I11" s="11">
        <v>2000</v>
      </c>
      <c r="J11" s="10">
        <v>1000</v>
      </c>
      <c r="K11" s="9">
        <v>1000</v>
      </c>
      <c r="L11" s="8">
        <f t="shared" si="0"/>
        <v>0</v>
      </c>
    </row>
    <row r="12" spans="1:12" ht="162" customHeight="1" thickBot="1" x14ac:dyDescent="0.3">
      <c r="A12" s="47"/>
      <c r="B12" s="13" t="s">
        <v>95</v>
      </c>
      <c r="C12" s="12" t="s">
        <v>15</v>
      </c>
      <c r="D12" s="12" t="s">
        <v>24</v>
      </c>
      <c r="E12" s="13" t="s">
        <v>362</v>
      </c>
      <c r="F12" s="22" t="s">
        <v>4</v>
      </c>
      <c r="G12" s="13" t="s">
        <v>0</v>
      </c>
      <c r="H12" s="12" t="s">
        <v>411</v>
      </c>
      <c r="I12" s="11">
        <v>1167</v>
      </c>
      <c r="J12" s="10">
        <v>500</v>
      </c>
      <c r="K12" s="9">
        <v>667</v>
      </c>
      <c r="L12" s="8">
        <f t="shared" si="0"/>
        <v>0</v>
      </c>
    </row>
    <row r="13" spans="1:12" ht="162" customHeight="1" thickBot="1" x14ac:dyDescent="0.3">
      <c r="A13" s="48"/>
      <c r="B13" s="13" t="s">
        <v>77</v>
      </c>
      <c r="C13" s="12" t="s">
        <v>27</v>
      </c>
      <c r="D13" s="12" t="s">
        <v>24</v>
      </c>
      <c r="E13" s="13" t="s">
        <v>423</v>
      </c>
      <c r="F13" s="22" t="s">
        <v>9</v>
      </c>
      <c r="G13" s="13" t="s">
        <v>0</v>
      </c>
      <c r="H13" s="12" t="s">
        <v>421</v>
      </c>
      <c r="I13" s="11">
        <v>3000</v>
      </c>
      <c r="J13" s="10">
        <v>1000</v>
      </c>
      <c r="K13" s="9">
        <v>2000</v>
      </c>
      <c r="L13" s="8">
        <f t="shared" si="0"/>
        <v>0</v>
      </c>
    </row>
    <row r="14" spans="1:12" ht="162" customHeight="1" thickBot="1" x14ac:dyDescent="0.3">
      <c r="A14" s="21" t="s">
        <v>23</v>
      </c>
      <c r="B14" s="13" t="s">
        <v>21</v>
      </c>
      <c r="C14" s="12" t="s">
        <v>3</v>
      </c>
      <c r="D14" s="12" t="s">
        <v>20</v>
      </c>
      <c r="E14" s="13" t="s">
        <v>56</v>
      </c>
      <c r="F14" s="22" t="s">
        <v>9</v>
      </c>
      <c r="G14" s="13" t="s">
        <v>0</v>
      </c>
      <c r="H14" s="12" t="s">
        <v>421</v>
      </c>
      <c r="I14" s="11">
        <v>18000</v>
      </c>
      <c r="J14" s="10">
        <v>5000</v>
      </c>
      <c r="K14" s="9">
        <f>3000+3000+3000+4000</f>
        <v>13000</v>
      </c>
      <c r="L14" s="8">
        <f t="shared" si="0"/>
        <v>0</v>
      </c>
    </row>
    <row r="15" spans="1:12" ht="162" customHeight="1" thickBot="1" x14ac:dyDescent="0.3">
      <c r="A15" s="46" t="s">
        <v>54</v>
      </c>
      <c r="B15" s="13" t="s">
        <v>104</v>
      </c>
      <c r="C15" s="12" t="s">
        <v>118</v>
      </c>
      <c r="D15" s="12" t="s">
        <v>60</v>
      </c>
      <c r="E15" s="13" t="s">
        <v>425</v>
      </c>
      <c r="F15" s="22" t="s">
        <v>64</v>
      </c>
      <c r="G15" s="13" t="s">
        <v>37</v>
      </c>
      <c r="H15" s="12" t="s">
        <v>411</v>
      </c>
      <c r="I15" s="11">
        <v>200</v>
      </c>
      <c r="J15" s="10">
        <v>200</v>
      </c>
      <c r="K15" s="9"/>
      <c r="L15" s="8">
        <f t="shared" si="0"/>
        <v>0</v>
      </c>
    </row>
    <row r="16" spans="1:12" ht="162" customHeight="1" thickBot="1" x14ac:dyDescent="0.3">
      <c r="A16" s="47"/>
      <c r="B16" s="13" t="s">
        <v>104</v>
      </c>
      <c r="C16" s="12" t="s">
        <v>118</v>
      </c>
      <c r="D16" s="12" t="s">
        <v>60</v>
      </c>
      <c r="E16" s="13" t="s">
        <v>426</v>
      </c>
      <c r="F16" s="22" t="s">
        <v>64</v>
      </c>
      <c r="G16" s="13" t="s">
        <v>37</v>
      </c>
      <c r="H16" s="12" t="s">
        <v>411</v>
      </c>
      <c r="I16" s="11">
        <v>100</v>
      </c>
      <c r="J16" s="10"/>
      <c r="K16" s="9">
        <v>100</v>
      </c>
      <c r="L16" s="8">
        <f t="shared" si="0"/>
        <v>0</v>
      </c>
    </row>
    <row r="17" spans="1:12" ht="162" customHeight="1" thickBot="1" x14ac:dyDescent="0.3">
      <c r="A17" s="47"/>
      <c r="B17" s="13" t="s">
        <v>104</v>
      </c>
      <c r="C17" s="12" t="s">
        <v>118</v>
      </c>
      <c r="D17" s="12" t="s">
        <v>60</v>
      </c>
      <c r="E17" s="13" t="s">
        <v>427</v>
      </c>
      <c r="F17" s="22" t="s">
        <v>64</v>
      </c>
      <c r="G17" s="13" t="s">
        <v>37</v>
      </c>
      <c r="H17" s="12" t="s">
        <v>411</v>
      </c>
      <c r="I17" s="11">
        <v>51</v>
      </c>
      <c r="J17" s="10"/>
      <c r="K17" s="9">
        <v>51</v>
      </c>
      <c r="L17" s="8">
        <f t="shared" si="0"/>
        <v>0</v>
      </c>
    </row>
    <row r="18" spans="1:12" ht="162" customHeight="1" thickBot="1" x14ac:dyDescent="0.3">
      <c r="A18" s="48"/>
      <c r="B18" s="13" t="s">
        <v>104</v>
      </c>
      <c r="C18" s="12" t="s">
        <v>118</v>
      </c>
      <c r="D18" s="12" t="s">
        <v>60</v>
      </c>
      <c r="E18" s="13" t="s">
        <v>428</v>
      </c>
      <c r="F18" s="22" t="s">
        <v>64</v>
      </c>
      <c r="G18" s="13" t="s">
        <v>37</v>
      </c>
      <c r="H18" s="12" t="s">
        <v>411</v>
      </c>
      <c r="I18" s="11">
        <v>51</v>
      </c>
      <c r="J18" s="10"/>
      <c r="K18" s="9">
        <v>51</v>
      </c>
      <c r="L18" s="8">
        <f t="shared" si="0"/>
        <v>0</v>
      </c>
    </row>
    <row r="19" spans="1:12" ht="162" customHeight="1" thickBot="1" x14ac:dyDescent="0.3">
      <c r="A19" s="46" t="s">
        <v>19</v>
      </c>
      <c r="B19" s="24" t="s">
        <v>7</v>
      </c>
      <c r="C19" s="12" t="s">
        <v>17</v>
      </c>
      <c r="D19" s="22" t="s">
        <v>120</v>
      </c>
      <c r="E19" s="13" t="s">
        <v>121</v>
      </c>
      <c r="F19" s="22" t="s">
        <v>122</v>
      </c>
      <c r="G19" s="13" t="s">
        <v>0</v>
      </c>
      <c r="H19" s="12" t="s">
        <v>421</v>
      </c>
      <c r="I19" s="11">
        <v>2000</v>
      </c>
      <c r="J19" s="41">
        <v>1000</v>
      </c>
      <c r="K19" s="9">
        <v>1000</v>
      </c>
      <c r="L19" s="8">
        <f t="shared" si="0"/>
        <v>0</v>
      </c>
    </row>
    <row r="20" spans="1:12" ht="162" customHeight="1" thickBot="1" x14ac:dyDescent="0.3">
      <c r="A20" s="47"/>
      <c r="B20" s="24" t="s">
        <v>12</v>
      </c>
      <c r="C20" s="12" t="s">
        <v>3</v>
      </c>
      <c r="D20" s="22" t="s">
        <v>11</v>
      </c>
      <c r="E20" s="13" t="s">
        <v>10</v>
      </c>
      <c r="F20" s="22" t="s">
        <v>9</v>
      </c>
      <c r="G20" s="13" t="s">
        <v>0</v>
      </c>
      <c r="H20" s="12" t="s">
        <v>421</v>
      </c>
      <c r="I20" s="11">
        <v>5000</v>
      </c>
      <c r="J20" s="10">
        <v>1000</v>
      </c>
      <c r="K20" s="9">
        <v>4000</v>
      </c>
      <c r="L20" s="8">
        <f t="shared" si="0"/>
        <v>0</v>
      </c>
    </row>
    <row r="21" spans="1:12" ht="162" customHeight="1" thickBot="1" x14ac:dyDescent="0.3">
      <c r="A21" s="48"/>
      <c r="B21" s="24" t="s">
        <v>194</v>
      </c>
      <c r="C21" s="12" t="s">
        <v>3</v>
      </c>
      <c r="D21" s="12" t="s">
        <v>1</v>
      </c>
      <c r="E21" s="13" t="s">
        <v>195</v>
      </c>
      <c r="F21" s="22" t="s">
        <v>122</v>
      </c>
      <c r="G21" s="13" t="s">
        <v>0</v>
      </c>
      <c r="H21" s="12" t="s">
        <v>421</v>
      </c>
      <c r="I21" s="11">
        <v>2000</v>
      </c>
      <c r="J21" s="10">
        <v>1000</v>
      </c>
      <c r="K21" s="9">
        <v>1000</v>
      </c>
      <c r="L21" s="8">
        <f t="shared" si="0"/>
        <v>0</v>
      </c>
    </row>
  </sheetData>
  <autoFilter ref="A2:L21"/>
  <dataConsolidate/>
  <mergeCells count="5">
    <mergeCell ref="A1:L1"/>
    <mergeCell ref="A3:A8"/>
    <mergeCell ref="A9:A13"/>
    <mergeCell ref="A15:A18"/>
    <mergeCell ref="A19:A21"/>
  </mergeCells>
  <conditionalFormatting sqref="I2:I21 K3:L21">
    <cfRule type="cellIs" dxfId="30" priority="3" operator="lessThan">
      <formula>0</formula>
    </cfRule>
  </conditionalFormatting>
  <conditionalFormatting sqref="L2">
    <cfRule type="cellIs" dxfId="29" priority="2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50"/>
  <sheetViews>
    <sheetView showGridLines="0" view="pageBreakPreview" topLeftCell="A42" zoomScale="20" zoomScaleNormal="15" zoomScaleSheetLayoutView="20" workbookViewId="0">
      <selection activeCell="K51" sqref="K51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436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437</v>
      </c>
      <c r="I3" s="11">
        <v>1600</v>
      </c>
      <c r="J3" s="10"/>
      <c r="K3" s="9">
        <v>1600</v>
      </c>
      <c r="L3" s="8">
        <f t="shared" ref="L3:L50" si="0">K3+J3-I3</f>
        <v>0</v>
      </c>
    </row>
    <row r="4" spans="1:12" ht="162" customHeight="1" thickBot="1" x14ac:dyDescent="0.3">
      <c r="A4" s="47"/>
      <c r="B4" s="13" t="s">
        <v>136</v>
      </c>
      <c r="C4" s="12" t="s">
        <v>6</v>
      </c>
      <c r="D4" s="12" t="s">
        <v>126</v>
      </c>
      <c r="E4" s="13" t="s">
        <v>137</v>
      </c>
      <c r="F4" s="22" t="s">
        <v>122</v>
      </c>
      <c r="G4" s="13" t="s">
        <v>0</v>
      </c>
      <c r="H4" s="12" t="s">
        <v>437</v>
      </c>
      <c r="I4" s="11">
        <v>2000</v>
      </c>
      <c r="J4" s="10"/>
      <c r="K4" s="9">
        <v>2000</v>
      </c>
      <c r="L4" s="8">
        <f t="shared" si="0"/>
        <v>0</v>
      </c>
    </row>
    <row r="5" spans="1:12" ht="162" customHeight="1" thickBot="1" x14ac:dyDescent="0.3">
      <c r="A5" s="47"/>
      <c r="B5" s="13" t="s">
        <v>136</v>
      </c>
      <c r="C5" s="12" t="s">
        <v>3</v>
      </c>
      <c r="D5" s="12" t="s">
        <v>126</v>
      </c>
      <c r="E5" s="13" t="s">
        <v>422</v>
      </c>
      <c r="F5" s="22" t="s">
        <v>122</v>
      </c>
      <c r="G5" s="13" t="s">
        <v>0</v>
      </c>
      <c r="H5" s="12" t="s">
        <v>437</v>
      </c>
      <c r="I5" s="11">
        <v>1000</v>
      </c>
      <c r="J5" s="10">
        <v>1000</v>
      </c>
      <c r="K5" s="9"/>
      <c r="L5" s="8">
        <f t="shared" si="0"/>
        <v>0</v>
      </c>
    </row>
    <row r="6" spans="1:12" ht="162" customHeight="1" thickBot="1" x14ac:dyDescent="0.3">
      <c r="A6" s="47"/>
      <c r="B6" s="13" t="s">
        <v>136</v>
      </c>
      <c r="C6" s="12" t="s">
        <v>3</v>
      </c>
      <c r="D6" s="12" t="s">
        <v>126</v>
      </c>
      <c r="E6" s="13" t="s">
        <v>392</v>
      </c>
      <c r="F6" s="22" t="s">
        <v>122</v>
      </c>
      <c r="G6" s="13" t="s">
        <v>0</v>
      </c>
      <c r="H6" s="12" t="s">
        <v>437</v>
      </c>
      <c r="I6" s="11">
        <v>2000</v>
      </c>
      <c r="J6" s="10"/>
      <c r="K6" s="9">
        <v>2000</v>
      </c>
      <c r="L6" s="8">
        <f t="shared" si="0"/>
        <v>0</v>
      </c>
    </row>
    <row r="7" spans="1:12" ht="162" customHeight="1" thickBot="1" x14ac:dyDescent="0.3">
      <c r="A7" s="47"/>
      <c r="B7" s="13" t="s">
        <v>136</v>
      </c>
      <c r="C7" s="12" t="s">
        <v>3</v>
      </c>
      <c r="D7" s="12" t="s">
        <v>126</v>
      </c>
      <c r="E7" s="13" t="s">
        <v>422</v>
      </c>
      <c r="F7" s="22" t="s">
        <v>122</v>
      </c>
      <c r="G7" s="13" t="s">
        <v>0</v>
      </c>
      <c r="H7" s="12" t="s">
        <v>437</v>
      </c>
      <c r="I7" s="11">
        <v>1000</v>
      </c>
      <c r="J7" s="10"/>
      <c r="K7" s="9">
        <v>1000</v>
      </c>
      <c r="L7" s="8">
        <f t="shared" si="0"/>
        <v>0</v>
      </c>
    </row>
    <row r="8" spans="1:12" ht="162" customHeight="1" thickBot="1" x14ac:dyDescent="0.3">
      <c r="A8" s="47"/>
      <c r="B8" s="13" t="s">
        <v>136</v>
      </c>
      <c r="C8" s="12" t="s">
        <v>3</v>
      </c>
      <c r="D8" s="12" t="s">
        <v>126</v>
      </c>
      <c r="E8" s="13" t="s">
        <v>392</v>
      </c>
      <c r="F8" s="22" t="s">
        <v>122</v>
      </c>
      <c r="G8" s="13" t="s">
        <v>0</v>
      </c>
      <c r="H8" s="12" t="s">
        <v>437</v>
      </c>
      <c r="I8" s="11">
        <v>3000</v>
      </c>
      <c r="J8" s="10"/>
      <c r="K8" s="9">
        <v>3000</v>
      </c>
      <c r="L8" s="8">
        <f t="shared" si="0"/>
        <v>0</v>
      </c>
    </row>
    <row r="9" spans="1:12" ht="162" customHeight="1" thickBot="1" x14ac:dyDescent="0.3">
      <c r="A9" s="47"/>
      <c r="B9" s="13" t="s">
        <v>325</v>
      </c>
      <c r="C9" s="12" t="s">
        <v>34</v>
      </c>
      <c r="D9" s="12" t="s">
        <v>24</v>
      </c>
      <c r="E9" s="13" t="s">
        <v>33</v>
      </c>
      <c r="F9" s="22" t="s">
        <v>4</v>
      </c>
      <c r="G9" s="13" t="s">
        <v>0</v>
      </c>
      <c r="H9" s="12" t="s">
        <v>421</v>
      </c>
      <c r="I9" s="11">
        <v>7000</v>
      </c>
      <c r="J9" s="10">
        <v>1000</v>
      </c>
      <c r="K9" s="9">
        <v>6000</v>
      </c>
      <c r="L9" s="8">
        <f t="shared" si="0"/>
        <v>0</v>
      </c>
    </row>
    <row r="10" spans="1:12" ht="162" customHeight="1" thickBot="1" x14ac:dyDescent="0.3">
      <c r="A10" s="47"/>
      <c r="B10" s="13" t="s">
        <v>95</v>
      </c>
      <c r="C10" s="12" t="s">
        <v>15</v>
      </c>
      <c r="D10" s="12" t="s">
        <v>24</v>
      </c>
      <c r="E10" s="13" t="s">
        <v>96</v>
      </c>
      <c r="F10" s="22" t="s">
        <v>4</v>
      </c>
      <c r="G10" s="13" t="s">
        <v>0</v>
      </c>
      <c r="H10" s="12" t="s">
        <v>421</v>
      </c>
      <c r="I10" s="11">
        <v>2000</v>
      </c>
      <c r="J10" s="10">
        <v>2000</v>
      </c>
      <c r="K10" s="9"/>
      <c r="L10" s="8">
        <f t="shared" si="0"/>
        <v>0</v>
      </c>
    </row>
    <row r="11" spans="1:12" ht="162" customHeight="1" thickBot="1" x14ac:dyDescent="0.3">
      <c r="A11" s="47"/>
      <c r="B11" s="13" t="s">
        <v>95</v>
      </c>
      <c r="C11" s="12" t="s">
        <v>15</v>
      </c>
      <c r="D11" s="12" t="s">
        <v>24</v>
      </c>
      <c r="E11" s="13" t="s">
        <v>362</v>
      </c>
      <c r="F11" s="22" t="s">
        <v>4</v>
      </c>
      <c r="G11" s="13" t="s">
        <v>0</v>
      </c>
      <c r="H11" s="12" t="s">
        <v>421</v>
      </c>
      <c r="I11" s="11">
        <v>4000</v>
      </c>
      <c r="J11" s="10"/>
      <c r="K11" s="9">
        <v>4000</v>
      </c>
      <c r="L11" s="8">
        <f t="shared" si="0"/>
        <v>0</v>
      </c>
    </row>
    <row r="12" spans="1:12" ht="162" customHeight="1" thickBot="1" x14ac:dyDescent="0.3">
      <c r="A12" s="47"/>
      <c r="B12" s="13" t="s">
        <v>38</v>
      </c>
      <c r="C12" s="12" t="s">
        <v>27</v>
      </c>
      <c r="D12" s="12" t="s">
        <v>24</v>
      </c>
      <c r="E12" s="13" t="s">
        <v>39</v>
      </c>
      <c r="F12" s="22" t="s">
        <v>4</v>
      </c>
      <c r="G12" s="13" t="s">
        <v>0</v>
      </c>
      <c r="H12" s="12" t="s">
        <v>421</v>
      </c>
      <c r="I12" s="11">
        <v>1103</v>
      </c>
      <c r="J12" s="10"/>
      <c r="K12" s="9">
        <v>1103</v>
      </c>
      <c r="L12" s="8">
        <f t="shared" si="0"/>
        <v>0</v>
      </c>
    </row>
    <row r="13" spans="1:12" ht="162" customHeight="1" thickBot="1" x14ac:dyDescent="0.3">
      <c r="A13" s="47"/>
      <c r="B13" s="13" t="s">
        <v>38</v>
      </c>
      <c r="C13" s="12" t="s">
        <v>27</v>
      </c>
      <c r="D13" s="12" t="s">
        <v>24</v>
      </c>
      <c r="E13" s="13" t="s">
        <v>111</v>
      </c>
      <c r="F13" s="22" t="s">
        <v>4</v>
      </c>
      <c r="G13" s="13" t="s">
        <v>0</v>
      </c>
      <c r="H13" s="12" t="s">
        <v>421</v>
      </c>
      <c r="I13" s="11">
        <v>1000</v>
      </c>
      <c r="J13" s="10"/>
      <c r="K13" s="9">
        <v>1000</v>
      </c>
      <c r="L13" s="8">
        <f t="shared" si="0"/>
        <v>0</v>
      </c>
    </row>
    <row r="14" spans="1:12" ht="162" customHeight="1" thickBot="1" x14ac:dyDescent="0.3">
      <c r="A14" s="47"/>
      <c r="B14" s="13" t="s">
        <v>38</v>
      </c>
      <c r="C14" s="12" t="s">
        <v>27</v>
      </c>
      <c r="D14" s="12" t="s">
        <v>24</v>
      </c>
      <c r="E14" s="13" t="s">
        <v>197</v>
      </c>
      <c r="F14" s="22" t="s">
        <v>4</v>
      </c>
      <c r="G14" s="13" t="s">
        <v>0</v>
      </c>
      <c r="H14" s="12" t="s">
        <v>421</v>
      </c>
      <c r="I14" s="11">
        <v>1000</v>
      </c>
      <c r="J14" s="10"/>
      <c r="K14" s="9">
        <v>1000</v>
      </c>
      <c r="L14" s="8">
        <f t="shared" si="0"/>
        <v>0</v>
      </c>
    </row>
    <row r="15" spans="1:12" ht="162" customHeight="1" thickBot="1" x14ac:dyDescent="0.3">
      <c r="A15" s="47"/>
      <c r="B15" s="13" t="s">
        <v>38</v>
      </c>
      <c r="C15" s="12" t="s">
        <v>27</v>
      </c>
      <c r="D15" s="12" t="s">
        <v>24</v>
      </c>
      <c r="E15" s="13" t="s">
        <v>197</v>
      </c>
      <c r="F15" s="22" t="s">
        <v>380</v>
      </c>
      <c r="G15" s="13" t="s">
        <v>0</v>
      </c>
      <c r="H15" s="12" t="s">
        <v>421</v>
      </c>
      <c r="I15" s="11">
        <v>3000</v>
      </c>
      <c r="J15" s="10">
        <v>2000</v>
      </c>
      <c r="K15" s="9">
        <v>1000</v>
      </c>
      <c r="L15" s="8">
        <f t="shared" si="0"/>
        <v>0</v>
      </c>
    </row>
    <row r="16" spans="1:12" ht="162" customHeight="1" thickBot="1" x14ac:dyDescent="0.3">
      <c r="A16" s="47"/>
      <c r="B16" s="13" t="s">
        <v>38</v>
      </c>
      <c r="C16" s="12" t="s">
        <v>27</v>
      </c>
      <c r="D16" s="12" t="s">
        <v>24</v>
      </c>
      <c r="E16" s="13" t="s">
        <v>111</v>
      </c>
      <c r="F16" s="22" t="s">
        <v>4</v>
      </c>
      <c r="G16" s="13" t="s">
        <v>0</v>
      </c>
      <c r="H16" s="12" t="s">
        <v>421</v>
      </c>
      <c r="I16" s="11">
        <v>4000</v>
      </c>
      <c r="J16" s="10">
        <v>1000</v>
      </c>
      <c r="K16" s="9">
        <v>3000</v>
      </c>
      <c r="L16" s="8">
        <f t="shared" si="0"/>
        <v>0</v>
      </c>
    </row>
    <row r="17" spans="1:12" ht="162" customHeight="1" thickBot="1" x14ac:dyDescent="0.3">
      <c r="A17" s="47"/>
      <c r="B17" s="13" t="s">
        <v>371</v>
      </c>
      <c r="C17" s="12" t="s">
        <v>113</v>
      </c>
      <c r="D17" s="12" t="s">
        <v>24</v>
      </c>
      <c r="E17" s="13" t="s">
        <v>114</v>
      </c>
      <c r="F17" s="22" t="s">
        <v>4</v>
      </c>
      <c r="G17" s="13" t="s">
        <v>0</v>
      </c>
      <c r="H17" s="12" t="s">
        <v>421</v>
      </c>
      <c r="I17" s="11">
        <v>2660</v>
      </c>
      <c r="J17" s="10">
        <v>1000</v>
      </c>
      <c r="K17" s="9">
        <v>1660</v>
      </c>
      <c r="L17" s="8">
        <f t="shared" si="0"/>
        <v>0</v>
      </c>
    </row>
    <row r="18" spans="1:12" ht="162" customHeight="1" thickBot="1" x14ac:dyDescent="0.3">
      <c r="A18" s="47"/>
      <c r="B18" s="13" t="s">
        <v>32</v>
      </c>
      <c r="C18" s="12" t="s">
        <v>31</v>
      </c>
      <c r="D18" s="12" t="s">
        <v>24</v>
      </c>
      <c r="E18" s="13" t="s">
        <v>116</v>
      </c>
      <c r="F18" s="22" t="s">
        <v>9</v>
      </c>
      <c r="G18" s="13" t="s">
        <v>0</v>
      </c>
      <c r="H18" s="12" t="s">
        <v>421</v>
      </c>
      <c r="I18" s="11">
        <v>3000</v>
      </c>
      <c r="J18" s="10">
        <v>1000</v>
      </c>
      <c r="K18" s="9">
        <v>2000</v>
      </c>
      <c r="L18" s="8">
        <f t="shared" si="0"/>
        <v>0</v>
      </c>
    </row>
    <row r="19" spans="1:12" ht="162" customHeight="1" thickBot="1" x14ac:dyDescent="0.3">
      <c r="A19" s="48"/>
      <c r="B19" s="24" t="s">
        <v>32</v>
      </c>
      <c r="C19" s="12" t="s">
        <v>31</v>
      </c>
      <c r="D19" s="22" t="s">
        <v>24</v>
      </c>
      <c r="E19" s="13" t="s">
        <v>80</v>
      </c>
      <c r="F19" s="22" t="s">
        <v>9</v>
      </c>
      <c r="G19" s="13" t="s">
        <v>0</v>
      </c>
      <c r="H19" s="12" t="s">
        <v>421</v>
      </c>
      <c r="I19" s="11">
        <v>2000</v>
      </c>
      <c r="J19" s="41">
        <v>1000</v>
      </c>
      <c r="K19" s="9">
        <v>1000</v>
      </c>
      <c r="L19" s="8">
        <f t="shared" si="0"/>
        <v>0</v>
      </c>
    </row>
    <row r="20" spans="1:12" ht="162" customHeight="1" thickBot="1" x14ac:dyDescent="0.3">
      <c r="A20" s="46" t="s">
        <v>36</v>
      </c>
      <c r="B20" s="24" t="s">
        <v>239</v>
      </c>
      <c r="C20" s="12" t="s">
        <v>163</v>
      </c>
      <c r="D20" s="22" t="s">
        <v>24</v>
      </c>
      <c r="E20" s="13" t="s">
        <v>240</v>
      </c>
      <c r="F20" s="22" t="s">
        <v>102</v>
      </c>
      <c r="G20" s="13" t="s">
        <v>37</v>
      </c>
      <c r="H20" s="12" t="s">
        <v>421</v>
      </c>
      <c r="I20" s="11">
        <v>921</v>
      </c>
      <c r="J20" s="10"/>
      <c r="K20" s="9">
        <v>921</v>
      </c>
      <c r="L20" s="8">
        <f t="shared" si="0"/>
        <v>0</v>
      </c>
    </row>
    <row r="21" spans="1:12" ht="162" customHeight="1" thickBot="1" x14ac:dyDescent="0.3">
      <c r="A21" s="47"/>
      <c r="B21" s="24" t="s">
        <v>28</v>
      </c>
      <c r="C21" s="12" t="s">
        <v>34</v>
      </c>
      <c r="D21" s="12" t="s">
        <v>24</v>
      </c>
      <c r="E21" s="13" t="s">
        <v>33</v>
      </c>
      <c r="F21" s="22" t="s">
        <v>4</v>
      </c>
      <c r="G21" s="13" t="s">
        <v>0</v>
      </c>
      <c r="H21" s="12" t="s">
        <v>421</v>
      </c>
      <c r="I21" s="11">
        <v>3000</v>
      </c>
      <c r="J21" s="10"/>
      <c r="K21" s="9">
        <v>3000</v>
      </c>
      <c r="L21" s="8">
        <f t="shared" si="0"/>
        <v>0</v>
      </c>
    </row>
    <row r="22" spans="1:12" ht="162" customHeight="1" thickBot="1" x14ac:dyDescent="0.3">
      <c r="A22" s="47"/>
      <c r="B22" s="24" t="s">
        <v>28</v>
      </c>
      <c r="C22" s="12" t="s">
        <v>34</v>
      </c>
      <c r="D22" s="12" t="s">
        <v>24</v>
      </c>
      <c r="E22" s="13" t="s">
        <v>33</v>
      </c>
      <c r="F22" s="22" t="s">
        <v>4</v>
      </c>
      <c r="G22" s="13" t="s">
        <v>8</v>
      </c>
      <c r="H22" s="12" t="s">
        <v>421</v>
      </c>
      <c r="I22" s="11">
        <v>100</v>
      </c>
      <c r="J22" s="10"/>
      <c r="K22" s="9">
        <v>100</v>
      </c>
      <c r="L22" s="8">
        <f t="shared" si="0"/>
        <v>0</v>
      </c>
    </row>
    <row r="23" spans="1:12" ht="162" customHeight="1" thickBot="1" x14ac:dyDescent="0.3">
      <c r="A23" s="47"/>
      <c r="B23" s="24" t="s">
        <v>28</v>
      </c>
      <c r="C23" s="12" t="s">
        <v>34</v>
      </c>
      <c r="D23" s="12" t="s">
        <v>24</v>
      </c>
      <c r="E23" s="13" t="s">
        <v>33</v>
      </c>
      <c r="F23" s="22" t="s">
        <v>4</v>
      </c>
      <c r="G23" s="13" t="s">
        <v>0</v>
      </c>
      <c r="H23" s="12" t="s">
        <v>421</v>
      </c>
      <c r="I23" s="11">
        <v>2000</v>
      </c>
      <c r="J23" s="10"/>
      <c r="K23" s="9">
        <v>2000</v>
      </c>
      <c r="L23" s="8">
        <f t="shared" si="0"/>
        <v>0</v>
      </c>
    </row>
    <row r="24" spans="1:12" ht="162" customHeight="1" thickBot="1" x14ac:dyDescent="0.3">
      <c r="A24" s="47"/>
      <c r="B24" s="24" t="s">
        <v>112</v>
      </c>
      <c r="C24" s="12" t="s">
        <v>34</v>
      </c>
      <c r="D24" s="12" t="s">
        <v>24</v>
      </c>
      <c r="E24" s="13" t="s">
        <v>33</v>
      </c>
      <c r="F24" s="22" t="s">
        <v>4</v>
      </c>
      <c r="G24" s="13" t="s">
        <v>0</v>
      </c>
      <c r="H24" s="12" t="s">
        <v>421</v>
      </c>
      <c r="I24" s="11">
        <v>3000</v>
      </c>
      <c r="J24" s="10">
        <v>1000</v>
      </c>
      <c r="K24" s="9">
        <v>2000</v>
      </c>
      <c r="L24" s="8">
        <f t="shared" si="0"/>
        <v>0</v>
      </c>
    </row>
    <row r="25" spans="1:12" ht="162" customHeight="1" thickBot="1" x14ac:dyDescent="0.3">
      <c r="A25" s="47"/>
      <c r="B25" s="24" t="s">
        <v>61</v>
      </c>
      <c r="C25" s="12" t="s">
        <v>31</v>
      </c>
      <c r="D25" s="12" t="s">
        <v>24</v>
      </c>
      <c r="E25" s="13" t="s">
        <v>116</v>
      </c>
      <c r="F25" s="22" t="s">
        <v>9</v>
      </c>
      <c r="G25" s="13" t="s">
        <v>0</v>
      </c>
      <c r="H25" s="12" t="s">
        <v>421</v>
      </c>
      <c r="I25" s="11">
        <v>3000</v>
      </c>
      <c r="J25" s="10">
        <v>1000</v>
      </c>
      <c r="K25" s="9">
        <v>2000</v>
      </c>
      <c r="L25" s="8">
        <f t="shared" si="0"/>
        <v>0</v>
      </c>
    </row>
    <row r="26" spans="1:12" ht="162" customHeight="1" thickBot="1" x14ac:dyDescent="0.3">
      <c r="A26" s="47"/>
      <c r="B26" s="24" t="s">
        <v>32</v>
      </c>
      <c r="C26" s="12" t="s">
        <v>31</v>
      </c>
      <c r="D26" s="12" t="s">
        <v>24</v>
      </c>
      <c r="E26" s="13" t="s">
        <v>80</v>
      </c>
      <c r="F26" s="22" t="s">
        <v>9</v>
      </c>
      <c r="G26" s="13" t="s">
        <v>0</v>
      </c>
      <c r="H26" s="12" t="s">
        <v>421</v>
      </c>
      <c r="I26" s="11">
        <v>1500</v>
      </c>
      <c r="J26" s="10"/>
      <c r="K26" s="9">
        <v>1500</v>
      </c>
      <c r="L26" s="8">
        <f t="shared" si="0"/>
        <v>0</v>
      </c>
    </row>
    <row r="27" spans="1:12" ht="162" customHeight="1" thickBot="1" x14ac:dyDescent="0.3">
      <c r="A27" s="47"/>
      <c r="B27" s="24" t="s">
        <v>32</v>
      </c>
      <c r="C27" s="12" t="s">
        <v>31</v>
      </c>
      <c r="D27" s="12" t="s">
        <v>24</v>
      </c>
      <c r="E27" s="13" t="s">
        <v>80</v>
      </c>
      <c r="F27" s="22" t="s">
        <v>9</v>
      </c>
      <c r="G27" s="13" t="s">
        <v>0</v>
      </c>
      <c r="H27" s="12" t="s">
        <v>421</v>
      </c>
      <c r="I27" s="11">
        <v>2000</v>
      </c>
      <c r="J27" s="10"/>
      <c r="K27" s="9">
        <v>2000</v>
      </c>
      <c r="L27" s="8">
        <f t="shared" si="0"/>
        <v>0</v>
      </c>
    </row>
    <row r="28" spans="1:12" ht="162" customHeight="1" thickBot="1" x14ac:dyDescent="0.3">
      <c r="A28" s="47"/>
      <c r="B28" s="24" t="s">
        <v>284</v>
      </c>
      <c r="C28" s="12" t="s">
        <v>113</v>
      </c>
      <c r="D28" s="12" t="s">
        <v>24</v>
      </c>
      <c r="E28" s="13" t="s">
        <v>114</v>
      </c>
      <c r="F28" s="22" t="s">
        <v>4</v>
      </c>
      <c r="G28" s="13" t="s">
        <v>0</v>
      </c>
      <c r="H28" s="12" t="s">
        <v>421</v>
      </c>
      <c r="I28" s="11">
        <v>2660</v>
      </c>
      <c r="J28" s="10"/>
      <c r="K28" s="9">
        <v>2660</v>
      </c>
      <c r="L28" s="8">
        <f t="shared" si="0"/>
        <v>0</v>
      </c>
    </row>
    <row r="29" spans="1:12" ht="162" customHeight="1" thickBot="1" x14ac:dyDescent="0.3">
      <c r="A29" s="47"/>
      <c r="B29" s="24" t="s">
        <v>95</v>
      </c>
      <c r="C29" s="12" t="s">
        <v>15</v>
      </c>
      <c r="D29" s="12" t="s">
        <v>24</v>
      </c>
      <c r="E29" s="13" t="s">
        <v>96</v>
      </c>
      <c r="F29" s="22" t="s">
        <v>4</v>
      </c>
      <c r="G29" s="13" t="s">
        <v>0</v>
      </c>
      <c r="H29" s="12" t="s">
        <v>421</v>
      </c>
      <c r="I29" s="11">
        <v>1130</v>
      </c>
      <c r="J29" s="10"/>
      <c r="K29" s="9">
        <v>1130</v>
      </c>
      <c r="L29" s="8">
        <f t="shared" si="0"/>
        <v>0</v>
      </c>
    </row>
    <row r="30" spans="1:12" ht="162" customHeight="1" thickBot="1" x14ac:dyDescent="0.3">
      <c r="A30" s="47"/>
      <c r="B30" s="24" t="s">
        <v>95</v>
      </c>
      <c r="C30" s="12" t="s">
        <v>15</v>
      </c>
      <c r="D30" s="12" t="s">
        <v>24</v>
      </c>
      <c r="E30" s="13" t="s">
        <v>362</v>
      </c>
      <c r="F30" s="22" t="s">
        <v>4</v>
      </c>
      <c r="G30" s="13" t="s">
        <v>0</v>
      </c>
      <c r="H30" s="12" t="s">
        <v>421</v>
      </c>
      <c r="I30" s="11">
        <v>1500</v>
      </c>
      <c r="J30" s="10"/>
      <c r="K30" s="9">
        <v>1500</v>
      </c>
      <c r="L30" s="8">
        <f t="shared" si="0"/>
        <v>0</v>
      </c>
    </row>
    <row r="31" spans="1:12" ht="162" customHeight="1" thickBot="1" x14ac:dyDescent="0.3">
      <c r="A31" s="47"/>
      <c r="B31" s="24" t="s">
        <v>95</v>
      </c>
      <c r="C31" s="12" t="s">
        <v>15</v>
      </c>
      <c r="D31" s="12" t="s">
        <v>24</v>
      </c>
      <c r="E31" s="13" t="s">
        <v>362</v>
      </c>
      <c r="F31" s="22" t="s">
        <v>4</v>
      </c>
      <c r="G31" s="13" t="s">
        <v>0</v>
      </c>
      <c r="H31" s="12" t="s">
        <v>421</v>
      </c>
      <c r="I31" s="11">
        <v>3000</v>
      </c>
      <c r="J31" s="10">
        <v>1000</v>
      </c>
      <c r="K31" s="9">
        <v>2000</v>
      </c>
      <c r="L31" s="8">
        <f t="shared" si="0"/>
        <v>0</v>
      </c>
    </row>
    <row r="32" spans="1:12" ht="162" customHeight="1" thickBot="1" x14ac:dyDescent="0.3">
      <c r="A32" s="47"/>
      <c r="B32" s="24" t="s">
        <v>38</v>
      </c>
      <c r="C32" s="12" t="s">
        <v>27</v>
      </c>
      <c r="D32" s="12" t="s">
        <v>24</v>
      </c>
      <c r="E32" s="13" t="s">
        <v>111</v>
      </c>
      <c r="F32" s="22" t="s">
        <v>4</v>
      </c>
      <c r="G32" s="13" t="s">
        <v>0</v>
      </c>
      <c r="H32" s="12" t="s">
        <v>421</v>
      </c>
      <c r="I32" s="11">
        <v>3000</v>
      </c>
      <c r="J32" s="10">
        <v>1000</v>
      </c>
      <c r="K32" s="9">
        <v>2000</v>
      </c>
      <c r="L32" s="8">
        <f t="shared" si="0"/>
        <v>0</v>
      </c>
    </row>
    <row r="33" spans="1:12" ht="162" customHeight="1" thickBot="1" x14ac:dyDescent="0.3">
      <c r="A33" s="48"/>
      <c r="B33" s="24" t="s">
        <v>77</v>
      </c>
      <c r="C33" s="12" t="s">
        <v>27</v>
      </c>
      <c r="D33" s="12" t="s">
        <v>24</v>
      </c>
      <c r="E33" s="13" t="s">
        <v>197</v>
      </c>
      <c r="F33" s="22" t="s">
        <v>380</v>
      </c>
      <c r="G33" s="13" t="s">
        <v>0</v>
      </c>
      <c r="H33" s="12" t="s">
        <v>421</v>
      </c>
      <c r="I33" s="11">
        <v>3000</v>
      </c>
      <c r="J33" s="10"/>
      <c r="K33" s="9">
        <v>3000</v>
      </c>
      <c r="L33" s="8">
        <f t="shared" si="0"/>
        <v>0</v>
      </c>
    </row>
    <row r="34" spans="1:12" ht="162" customHeight="1" thickBot="1" x14ac:dyDescent="0.3">
      <c r="A34" s="46" t="s">
        <v>23</v>
      </c>
      <c r="B34" s="24" t="s">
        <v>223</v>
      </c>
      <c r="C34" s="12" t="s">
        <v>17</v>
      </c>
      <c r="D34" s="12" t="s">
        <v>311</v>
      </c>
      <c r="E34" s="13" t="s">
        <v>312</v>
      </c>
      <c r="F34" s="22" t="s">
        <v>122</v>
      </c>
      <c r="G34" s="13" t="s">
        <v>0</v>
      </c>
      <c r="H34" s="12" t="s">
        <v>421</v>
      </c>
      <c r="I34" s="11">
        <v>4000</v>
      </c>
      <c r="J34" s="10">
        <v>1000</v>
      </c>
      <c r="K34" s="9">
        <v>3000</v>
      </c>
      <c r="L34" s="8">
        <f t="shared" si="0"/>
        <v>0</v>
      </c>
    </row>
    <row r="35" spans="1:12" ht="162" customHeight="1" thickBot="1" x14ac:dyDescent="0.3">
      <c r="A35" s="47"/>
      <c r="B35" s="24" t="s">
        <v>12</v>
      </c>
      <c r="C35" s="12" t="s">
        <v>6</v>
      </c>
      <c r="D35" s="12" t="s">
        <v>20</v>
      </c>
      <c r="E35" s="13" t="s">
        <v>22</v>
      </c>
      <c r="F35" s="22" t="s">
        <v>4</v>
      </c>
      <c r="G35" s="13" t="s">
        <v>0</v>
      </c>
      <c r="H35" s="12" t="s">
        <v>421</v>
      </c>
      <c r="I35" s="11">
        <v>7000</v>
      </c>
      <c r="J35" s="10">
        <v>1000</v>
      </c>
      <c r="K35" s="9">
        <v>6000</v>
      </c>
      <c r="L35" s="8">
        <f t="shared" si="0"/>
        <v>0</v>
      </c>
    </row>
    <row r="36" spans="1:12" ht="162" customHeight="1" thickBot="1" x14ac:dyDescent="0.3">
      <c r="A36" s="48"/>
      <c r="B36" s="24" t="s">
        <v>12</v>
      </c>
      <c r="C36" s="12" t="s">
        <v>6</v>
      </c>
      <c r="D36" s="12" t="s">
        <v>20</v>
      </c>
      <c r="E36" s="13" t="s">
        <v>22</v>
      </c>
      <c r="F36" s="22" t="s">
        <v>4</v>
      </c>
      <c r="G36" s="13" t="s">
        <v>0</v>
      </c>
      <c r="H36" s="12" t="s">
        <v>421</v>
      </c>
      <c r="I36" s="11">
        <v>5000</v>
      </c>
      <c r="J36" s="10"/>
      <c r="K36" s="9">
        <v>5000</v>
      </c>
      <c r="L36" s="8">
        <f t="shared" si="0"/>
        <v>0</v>
      </c>
    </row>
    <row r="37" spans="1:12" ht="162" customHeight="1" thickBot="1" x14ac:dyDescent="0.3">
      <c r="A37" s="46" t="s">
        <v>54</v>
      </c>
      <c r="B37" s="24" t="s">
        <v>104</v>
      </c>
      <c r="C37" s="12" t="s">
        <v>235</v>
      </c>
      <c r="D37" s="12" t="s">
        <v>60</v>
      </c>
      <c r="E37" s="13" t="s">
        <v>304</v>
      </c>
      <c r="F37" s="22" t="s">
        <v>64</v>
      </c>
      <c r="G37" s="13" t="s">
        <v>37</v>
      </c>
      <c r="H37" s="12" t="s">
        <v>421</v>
      </c>
      <c r="I37" s="11">
        <v>21</v>
      </c>
      <c r="J37" s="10"/>
      <c r="K37" s="9">
        <v>21</v>
      </c>
      <c r="L37" s="8">
        <f t="shared" si="0"/>
        <v>0</v>
      </c>
    </row>
    <row r="38" spans="1:12" ht="162" customHeight="1" thickBot="1" x14ac:dyDescent="0.3">
      <c r="A38" s="47"/>
      <c r="B38" s="24" t="s">
        <v>104</v>
      </c>
      <c r="C38" s="12" t="s">
        <v>235</v>
      </c>
      <c r="D38" s="12" t="s">
        <v>60</v>
      </c>
      <c r="E38" s="13" t="s">
        <v>364</v>
      </c>
      <c r="F38" s="22" t="s">
        <v>64</v>
      </c>
      <c r="G38" s="13" t="s">
        <v>37</v>
      </c>
      <c r="H38" s="12" t="s">
        <v>421</v>
      </c>
      <c r="I38" s="11">
        <v>22</v>
      </c>
      <c r="J38" s="10"/>
      <c r="K38" s="9">
        <v>22</v>
      </c>
      <c r="L38" s="8">
        <f t="shared" si="0"/>
        <v>0</v>
      </c>
    </row>
    <row r="39" spans="1:12" ht="162" customHeight="1" thickBot="1" x14ac:dyDescent="0.3">
      <c r="A39" s="48"/>
      <c r="B39" s="24" t="s">
        <v>104</v>
      </c>
      <c r="C39" s="12" t="s">
        <v>235</v>
      </c>
      <c r="D39" s="12" t="s">
        <v>60</v>
      </c>
      <c r="E39" s="13" t="s">
        <v>438</v>
      </c>
      <c r="F39" s="22" t="s">
        <v>64</v>
      </c>
      <c r="G39" s="13" t="s">
        <v>37</v>
      </c>
      <c r="H39" s="12" t="s">
        <v>421</v>
      </c>
      <c r="I39" s="11">
        <v>100</v>
      </c>
      <c r="J39" s="10"/>
      <c r="K39" s="9">
        <v>100</v>
      </c>
      <c r="L39" s="8">
        <f t="shared" si="0"/>
        <v>0</v>
      </c>
    </row>
    <row r="40" spans="1:12" ht="162" customHeight="1" thickBot="1" x14ac:dyDescent="0.3">
      <c r="A40" s="46" t="s">
        <v>19</v>
      </c>
      <c r="B40" s="24" t="s">
        <v>18</v>
      </c>
      <c r="C40" s="12" t="s">
        <v>17</v>
      </c>
      <c r="D40" s="12" t="s">
        <v>14</v>
      </c>
      <c r="E40" s="13" t="s">
        <v>16</v>
      </c>
      <c r="F40" s="22" t="s">
        <v>380</v>
      </c>
      <c r="G40" s="13" t="s">
        <v>0</v>
      </c>
      <c r="H40" s="12" t="s">
        <v>421</v>
      </c>
      <c r="I40" s="11">
        <v>2761</v>
      </c>
      <c r="J40" s="10">
        <v>1000</v>
      </c>
      <c r="K40" s="9">
        <v>1761</v>
      </c>
      <c r="L40" s="8">
        <f t="shared" si="0"/>
        <v>0</v>
      </c>
    </row>
    <row r="41" spans="1:12" ht="162" customHeight="1" thickBot="1" x14ac:dyDescent="0.3">
      <c r="A41" s="47"/>
      <c r="B41" s="24" t="s">
        <v>7</v>
      </c>
      <c r="C41" s="12" t="s">
        <v>17</v>
      </c>
      <c r="D41" s="12" t="s">
        <v>120</v>
      </c>
      <c r="E41" s="13" t="s">
        <v>121</v>
      </c>
      <c r="F41" s="22" t="s">
        <v>122</v>
      </c>
      <c r="G41" s="13" t="s">
        <v>0</v>
      </c>
      <c r="H41" s="12" t="s">
        <v>437</v>
      </c>
      <c r="I41" s="11">
        <v>2000</v>
      </c>
      <c r="J41" s="10">
        <v>1000</v>
      </c>
      <c r="K41" s="9">
        <v>1000</v>
      </c>
      <c r="L41" s="8">
        <f t="shared" si="0"/>
        <v>0</v>
      </c>
    </row>
    <row r="42" spans="1:12" ht="162" customHeight="1" thickBot="1" x14ac:dyDescent="0.3">
      <c r="A42" s="47"/>
      <c r="B42" s="24" t="s">
        <v>7</v>
      </c>
      <c r="C42" s="12" t="s">
        <v>15</v>
      </c>
      <c r="D42" s="12" t="s">
        <v>14</v>
      </c>
      <c r="E42" s="13" t="s">
        <v>65</v>
      </c>
      <c r="F42" s="22" t="s">
        <v>4</v>
      </c>
      <c r="G42" s="13" t="s">
        <v>0</v>
      </c>
      <c r="H42" s="12" t="s">
        <v>421</v>
      </c>
      <c r="I42" s="11">
        <v>2410</v>
      </c>
      <c r="J42" s="10">
        <v>950</v>
      </c>
      <c r="K42" s="9">
        <v>1460</v>
      </c>
      <c r="L42" s="8">
        <f t="shared" si="0"/>
        <v>0</v>
      </c>
    </row>
    <row r="43" spans="1:12" ht="162" customHeight="1" thickBot="1" x14ac:dyDescent="0.3">
      <c r="A43" s="47"/>
      <c r="B43" s="24" t="s">
        <v>7</v>
      </c>
      <c r="C43" s="12" t="s">
        <v>15</v>
      </c>
      <c r="D43" s="12" t="s">
        <v>14</v>
      </c>
      <c r="E43" s="13" t="s">
        <v>58</v>
      </c>
      <c r="F43" s="22" t="s">
        <v>4</v>
      </c>
      <c r="G43" s="13" t="s">
        <v>0</v>
      </c>
      <c r="H43" s="12" t="s">
        <v>421</v>
      </c>
      <c r="I43" s="11">
        <v>640</v>
      </c>
      <c r="J43" s="10"/>
      <c r="K43" s="9">
        <v>640</v>
      </c>
      <c r="L43" s="8">
        <f t="shared" si="0"/>
        <v>0</v>
      </c>
    </row>
    <row r="44" spans="1:12" ht="162" customHeight="1" thickBot="1" x14ac:dyDescent="0.3">
      <c r="A44" s="47"/>
      <c r="B44" s="24" t="s">
        <v>7</v>
      </c>
      <c r="C44" s="12" t="s">
        <v>15</v>
      </c>
      <c r="D44" s="12" t="s">
        <v>14</v>
      </c>
      <c r="E44" s="13" t="s">
        <v>13</v>
      </c>
      <c r="F44" s="22" t="s">
        <v>4</v>
      </c>
      <c r="G44" s="13" t="s">
        <v>0</v>
      </c>
      <c r="H44" s="12" t="s">
        <v>421</v>
      </c>
      <c r="I44" s="11">
        <v>2500</v>
      </c>
      <c r="J44" s="10">
        <v>500</v>
      </c>
      <c r="K44" s="9">
        <v>2000</v>
      </c>
      <c r="L44" s="8">
        <f t="shared" si="0"/>
        <v>0</v>
      </c>
    </row>
    <row r="45" spans="1:12" ht="162" customHeight="1" thickBot="1" x14ac:dyDescent="0.3">
      <c r="A45" s="47"/>
      <c r="B45" s="24" t="s">
        <v>7</v>
      </c>
      <c r="C45" s="12" t="s">
        <v>15</v>
      </c>
      <c r="D45" s="12" t="s">
        <v>14</v>
      </c>
      <c r="E45" s="13" t="s">
        <v>13</v>
      </c>
      <c r="F45" s="22" t="s">
        <v>4</v>
      </c>
      <c r="G45" s="13" t="s">
        <v>0</v>
      </c>
      <c r="H45" s="12" t="s">
        <v>421</v>
      </c>
      <c r="I45" s="11">
        <v>3175</v>
      </c>
      <c r="J45" s="10"/>
      <c r="K45" s="9">
        <v>3175</v>
      </c>
      <c r="L45" s="8">
        <f t="shared" si="0"/>
        <v>0</v>
      </c>
    </row>
    <row r="46" spans="1:12" ht="162" customHeight="1" thickBot="1" x14ac:dyDescent="0.3">
      <c r="A46" s="47"/>
      <c r="B46" s="24" t="s">
        <v>12</v>
      </c>
      <c r="C46" s="12" t="s">
        <v>3</v>
      </c>
      <c r="D46" s="12" t="s">
        <v>11</v>
      </c>
      <c r="E46" s="13" t="s">
        <v>10</v>
      </c>
      <c r="F46" s="22" t="s">
        <v>9</v>
      </c>
      <c r="G46" s="13" t="s">
        <v>0</v>
      </c>
      <c r="H46" s="12" t="s">
        <v>437</v>
      </c>
      <c r="I46" s="11">
        <v>2000</v>
      </c>
      <c r="J46" s="10">
        <v>1000</v>
      </c>
      <c r="K46" s="9">
        <v>1000</v>
      </c>
      <c r="L46" s="8">
        <f t="shared" si="0"/>
        <v>0</v>
      </c>
    </row>
    <row r="47" spans="1:12" ht="162" customHeight="1" thickBot="1" x14ac:dyDescent="0.3">
      <c r="A47" s="47"/>
      <c r="B47" s="24" t="s">
        <v>12</v>
      </c>
      <c r="C47" s="12" t="s">
        <v>3</v>
      </c>
      <c r="D47" s="12" t="s">
        <v>11</v>
      </c>
      <c r="E47" s="13" t="s">
        <v>10</v>
      </c>
      <c r="F47" s="22" t="s">
        <v>4</v>
      </c>
      <c r="G47" s="13" t="s">
        <v>37</v>
      </c>
      <c r="H47" s="12" t="s">
        <v>421</v>
      </c>
      <c r="I47" s="11">
        <v>5000</v>
      </c>
      <c r="J47" s="10"/>
      <c r="K47" s="9">
        <v>5000</v>
      </c>
      <c r="L47" s="8">
        <f t="shared" si="0"/>
        <v>0</v>
      </c>
    </row>
    <row r="48" spans="1:12" ht="162" customHeight="1" thickBot="1" x14ac:dyDescent="0.3">
      <c r="A48" s="47"/>
      <c r="B48" s="24" t="s">
        <v>7</v>
      </c>
      <c r="C48" s="12" t="s">
        <v>6</v>
      </c>
      <c r="D48" s="12" t="s">
        <v>1</v>
      </c>
      <c r="E48" s="13" t="s">
        <v>5</v>
      </c>
      <c r="F48" s="22" t="s">
        <v>4</v>
      </c>
      <c r="G48" s="13" t="s">
        <v>0</v>
      </c>
      <c r="H48" s="12" t="s">
        <v>421</v>
      </c>
      <c r="I48" s="11">
        <v>8000</v>
      </c>
      <c r="J48" s="10">
        <v>1000</v>
      </c>
      <c r="K48" s="9">
        <v>7000</v>
      </c>
      <c r="L48" s="8">
        <f t="shared" si="0"/>
        <v>0</v>
      </c>
    </row>
    <row r="49" spans="1:12" ht="162" customHeight="1" thickBot="1" x14ac:dyDescent="0.3">
      <c r="A49" s="47"/>
      <c r="B49" s="24" t="s">
        <v>7</v>
      </c>
      <c r="C49" s="12" t="s">
        <v>6</v>
      </c>
      <c r="D49" s="12" t="s">
        <v>1</v>
      </c>
      <c r="E49" s="13" t="s">
        <v>5</v>
      </c>
      <c r="F49" s="22" t="s">
        <v>4</v>
      </c>
      <c r="G49" s="13" t="s">
        <v>0</v>
      </c>
      <c r="H49" s="12" t="s">
        <v>421</v>
      </c>
      <c r="I49" s="11">
        <v>7000</v>
      </c>
      <c r="J49" s="10"/>
      <c r="K49" s="9">
        <v>7000</v>
      </c>
      <c r="L49" s="8">
        <f t="shared" si="0"/>
        <v>0</v>
      </c>
    </row>
    <row r="50" spans="1:12" ht="162" customHeight="1" thickBot="1" x14ac:dyDescent="0.3">
      <c r="A50" s="48"/>
      <c r="B50" s="24" t="s">
        <v>194</v>
      </c>
      <c r="C50" s="12" t="s">
        <v>3</v>
      </c>
      <c r="D50" s="12" t="s">
        <v>1</v>
      </c>
      <c r="E50" s="13" t="s">
        <v>195</v>
      </c>
      <c r="F50" s="22" t="s">
        <v>122</v>
      </c>
      <c r="G50" s="13" t="s">
        <v>0</v>
      </c>
      <c r="H50" s="12" t="s">
        <v>437</v>
      </c>
      <c r="I50" s="11">
        <v>2000</v>
      </c>
      <c r="J50" s="10"/>
      <c r="K50" s="9">
        <v>2000</v>
      </c>
      <c r="L50" s="8">
        <f t="shared" si="0"/>
        <v>0</v>
      </c>
    </row>
  </sheetData>
  <autoFilter ref="A2:L35"/>
  <dataConsolidate/>
  <mergeCells count="6">
    <mergeCell ref="A37:A39"/>
    <mergeCell ref="A40:A50"/>
    <mergeCell ref="A1:L1"/>
    <mergeCell ref="A3:A19"/>
    <mergeCell ref="A20:A33"/>
    <mergeCell ref="A34:A36"/>
  </mergeCells>
  <conditionalFormatting sqref="I2:I34 K3:L34 L35:L50">
    <cfRule type="cellIs" dxfId="28" priority="3" operator="lessThan">
      <formula>0</formula>
    </cfRule>
  </conditionalFormatting>
  <conditionalFormatting sqref="L2">
    <cfRule type="cellIs" dxfId="27" priority="2" operator="lessThan">
      <formula>0</formula>
    </cfRule>
  </conditionalFormatting>
  <conditionalFormatting sqref="I35:I50 K35:K50">
    <cfRule type="cellIs" dxfId="26" priority="1" operator="lessThan">
      <formula>0</formula>
    </cfRule>
  </conditionalFormatting>
  <printOptions horizontalCentered="1"/>
  <pageMargins left="0" right="0" top="0" bottom="0" header="0" footer="0"/>
  <pageSetup paperSize="9" scale="10" fitToHeight="0" orientation="portrait" cellComments="atEnd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0"/>
  </sheetPr>
  <dimension ref="A1:L50"/>
  <sheetViews>
    <sheetView showGridLines="0" view="pageBreakPreview" topLeftCell="A37" zoomScale="10" zoomScaleNormal="15" zoomScaleSheetLayoutView="10" workbookViewId="0">
      <selection activeCell="K45" activeCellId="1" sqref="E45:E50 K45:K50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325</v>
      </c>
      <c r="C3" s="12" t="s">
        <v>34</v>
      </c>
      <c r="D3" s="12" t="s">
        <v>24</v>
      </c>
      <c r="E3" s="13" t="s">
        <v>33</v>
      </c>
      <c r="F3" s="22" t="s">
        <v>4</v>
      </c>
      <c r="G3" s="13" t="s">
        <v>8</v>
      </c>
      <c r="H3" s="12" t="s">
        <v>421</v>
      </c>
      <c r="I3" s="11">
        <v>100</v>
      </c>
      <c r="J3" s="10"/>
      <c r="K3" s="9">
        <v>100</v>
      </c>
      <c r="L3" s="8">
        <f t="shared" ref="L3:L50" si="0">K3+J3-I3</f>
        <v>0</v>
      </c>
    </row>
    <row r="4" spans="1:12" ht="162" customHeight="1" thickBot="1" x14ac:dyDescent="0.3">
      <c r="A4" s="47"/>
      <c r="B4" s="13" t="s">
        <v>40</v>
      </c>
      <c r="C4" s="12" t="s">
        <v>125</v>
      </c>
      <c r="D4" s="12" t="s">
        <v>126</v>
      </c>
      <c r="E4" s="23" t="s">
        <v>180</v>
      </c>
      <c r="F4" s="22" t="s">
        <v>122</v>
      </c>
      <c r="G4" s="13" t="s">
        <v>0</v>
      </c>
      <c r="H4" s="12" t="s">
        <v>437</v>
      </c>
      <c r="I4" s="11">
        <v>1200</v>
      </c>
      <c r="J4" s="10"/>
      <c r="K4" s="9">
        <v>1200</v>
      </c>
      <c r="L4" s="8">
        <f t="shared" si="0"/>
        <v>0</v>
      </c>
    </row>
    <row r="5" spans="1:12" ht="162" customHeight="1" thickBot="1" x14ac:dyDescent="0.3">
      <c r="A5" s="47"/>
      <c r="B5" s="13" t="s">
        <v>40</v>
      </c>
      <c r="C5" s="12" t="s">
        <v>149</v>
      </c>
      <c r="D5" s="12" t="s">
        <v>126</v>
      </c>
      <c r="E5" s="23" t="s">
        <v>150</v>
      </c>
      <c r="F5" s="22" t="s">
        <v>122</v>
      </c>
      <c r="G5" s="13" t="s">
        <v>0</v>
      </c>
      <c r="H5" s="12" t="s">
        <v>437</v>
      </c>
      <c r="I5" s="11">
        <v>1000</v>
      </c>
      <c r="J5" s="10"/>
      <c r="K5" s="9">
        <v>1000</v>
      </c>
      <c r="L5" s="8">
        <f t="shared" si="0"/>
        <v>0</v>
      </c>
    </row>
    <row r="6" spans="1:12" ht="162" customHeight="1" thickBot="1" x14ac:dyDescent="0.3">
      <c r="A6" s="47"/>
      <c r="B6" s="13" t="s">
        <v>325</v>
      </c>
      <c r="C6" s="12" t="s">
        <v>34</v>
      </c>
      <c r="D6" s="12" t="s">
        <v>24</v>
      </c>
      <c r="E6" s="13" t="s">
        <v>33</v>
      </c>
      <c r="F6" s="22" t="s">
        <v>4</v>
      </c>
      <c r="G6" s="13" t="s">
        <v>0</v>
      </c>
      <c r="H6" s="12" t="s">
        <v>421</v>
      </c>
      <c r="I6" s="11">
        <v>4933</v>
      </c>
      <c r="J6" s="10">
        <v>1000</v>
      </c>
      <c r="K6" s="9">
        <f>3000+933</f>
        <v>3933</v>
      </c>
      <c r="L6" s="8">
        <f t="shared" si="0"/>
        <v>0</v>
      </c>
    </row>
    <row r="7" spans="1:12" ht="162" customHeight="1" thickBot="1" x14ac:dyDescent="0.3">
      <c r="A7" s="47"/>
      <c r="B7" s="13" t="s">
        <v>95</v>
      </c>
      <c r="C7" s="12" t="s">
        <v>15</v>
      </c>
      <c r="D7" s="12" t="s">
        <v>24</v>
      </c>
      <c r="E7" s="13" t="s">
        <v>362</v>
      </c>
      <c r="F7" s="22" t="s">
        <v>4</v>
      </c>
      <c r="G7" s="13" t="s">
        <v>0</v>
      </c>
      <c r="H7" s="12" t="s">
        <v>421</v>
      </c>
      <c r="I7" s="11">
        <v>3366</v>
      </c>
      <c r="J7" s="10">
        <v>1000</v>
      </c>
      <c r="K7" s="9">
        <f>1200+1166</f>
        <v>2366</v>
      </c>
      <c r="L7" s="8">
        <f t="shared" si="0"/>
        <v>0</v>
      </c>
    </row>
    <row r="8" spans="1:12" ht="162" customHeight="1" thickBot="1" x14ac:dyDescent="0.3">
      <c r="A8" s="47"/>
      <c r="B8" s="13" t="s">
        <v>95</v>
      </c>
      <c r="C8" s="12" t="s">
        <v>15</v>
      </c>
      <c r="D8" s="12" t="s">
        <v>24</v>
      </c>
      <c r="E8" s="13" t="s">
        <v>96</v>
      </c>
      <c r="F8" s="22" t="s">
        <v>4</v>
      </c>
      <c r="G8" s="13" t="s">
        <v>0</v>
      </c>
      <c r="H8" s="12" t="s">
        <v>421</v>
      </c>
      <c r="I8" s="11">
        <v>1130</v>
      </c>
      <c r="J8" s="10"/>
      <c r="K8" s="9">
        <v>1130</v>
      </c>
      <c r="L8" s="8">
        <f t="shared" si="0"/>
        <v>0</v>
      </c>
    </row>
    <row r="9" spans="1:12" ht="162" customHeight="1" thickBot="1" x14ac:dyDescent="0.3">
      <c r="A9" s="47"/>
      <c r="B9" s="13" t="s">
        <v>38</v>
      </c>
      <c r="C9" s="12" t="s">
        <v>27</v>
      </c>
      <c r="D9" s="12" t="s">
        <v>24</v>
      </c>
      <c r="E9" s="13" t="s">
        <v>55</v>
      </c>
      <c r="F9" s="22" t="s">
        <v>9</v>
      </c>
      <c r="G9" s="13" t="s">
        <v>0</v>
      </c>
      <c r="H9" s="12" t="s">
        <v>439</v>
      </c>
      <c r="I9" s="11">
        <v>2000</v>
      </c>
      <c r="J9" s="10">
        <v>1000</v>
      </c>
      <c r="K9" s="9">
        <v>1000</v>
      </c>
      <c r="L9" s="8">
        <f t="shared" si="0"/>
        <v>0</v>
      </c>
    </row>
    <row r="10" spans="1:12" ht="162" customHeight="1" thickBot="1" x14ac:dyDescent="0.3">
      <c r="A10" s="47"/>
      <c r="B10" s="13" t="s">
        <v>38</v>
      </c>
      <c r="C10" s="12" t="s">
        <v>27</v>
      </c>
      <c r="D10" s="12" t="s">
        <v>24</v>
      </c>
      <c r="E10" s="13" t="s">
        <v>111</v>
      </c>
      <c r="F10" s="22" t="s">
        <v>4</v>
      </c>
      <c r="G10" s="13" t="s">
        <v>8</v>
      </c>
      <c r="H10" s="12" t="s">
        <v>421</v>
      </c>
      <c r="I10" s="11">
        <v>30</v>
      </c>
      <c r="J10" s="10"/>
      <c r="K10" s="9">
        <v>30</v>
      </c>
      <c r="L10" s="8">
        <f t="shared" si="0"/>
        <v>0</v>
      </c>
    </row>
    <row r="11" spans="1:12" ht="162" customHeight="1" thickBot="1" x14ac:dyDescent="0.3">
      <c r="A11" s="47"/>
      <c r="B11" s="13" t="s">
        <v>38</v>
      </c>
      <c r="C11" s="12" t="s">
        <v>27</v>
      </c>
      <c r="D11" s="12" t="s">
        <v>24</v>
      </c>
      <c r="E11" s="13" t="s">
        <v>111</v>
      </c>
      <c r="F11" s="22" t="s">
        <v>4</v>
      </c>
      <c r="G11" s="13" t="s">
        <v>0</v>
      </c>
      <c r="H11" s="12" t="s">
        <v>421</v>
      </c>
      <c r="I11" s="11">
        <v>978</v>
      </c>
      <c r="J11" s="10"/>
      <c r="K11" s="9">
        <v>978</v>
      </c>
      <c r="L11" s="8">
        <f t="shared" si="0"/>
        <v>0</v>
      </c>
    </row>
    <row r="12" spans="1:12" ht="162" customHeight="1" thickBot="1" x14ac:dyDescent="0.3">
      <c r="A12" s="47"/>
      <c r="B12" s="13" t="s">
        <v>38</v>
      </c>
      <c r="C12" s="12" t="s">
        <v>27</v>
      </c>
      <c r="D12" s="12" t="s">
        <v>24</v>
      </c>
      <c r="E12" s="13" t="s">
        <v>197</v>
      </c>
      <c r="F12" s="22" t="s">
        <v>4</v>
      </c>
      <c r="G12" s="13" t="s">
        <v>0</v>
      </c>
      <c r="H12" s="12" t="s">
        <v>421</v>
      </c>
      <c r="I12" s="11">
        <v>220</v>
      </c>
      <c r="J12" s="10"/>
      <c r="K12" s="9">
        <v>220</v>
      </c>
      <c r="L12" s="8">
        <f t="shared" si="0"/>
        <v>0</v>
      </c>
    </row>
    <row r="13" spans="1:12" ht="162" customHeight="1" thickBot="1" x14ac:dyDescent="0.3">
      <c r="A13" s="47"/>
      <c r="B13" s="13" t="s">
        <v>32</v>
      </c>
      <c r="C13" s="12" t="s">
        <v>31</v>
      </c>
      <c r="D13" s="12" t="s">
        <v>24</v>
      </c>
      <c r="E13" s="13" t="s">
        <v>116</v>
      </c>
      <c r="F13" s="22" t="s">
        <v>9</v>
      </c>
      <c r="G13" s="13" t="s">
        <v>0</v>
      </c>
      <c r="H13" s="12" t="s">
        <v>439</v>
      </c>
      <c r="I13" s="11">
        <v>1660</v>
      </c>
      <c r="J13" s="10">
        <v>1000</v>
      </c>
      <c r="K13" s="9">
        <v>660</v>
      </c>
      <c r="L13" s="8">
        <f t="shared" si="0"/>
        <v>0</v>
      </c>
    </row>
    <row r="14" spans="1:12" ht="162" customHeight="1" thickBot="1" x14ac:dyDescent="0.3">
      <c r="A14" s="48"/>
      <c r="B14" s="13" t="s">
        <v>32</v>
      </c>
      <c r="C14" s="12" t="s">
        <v>31</v>
      </c>
      <c r="D14" s="12" t="s">
        <v>24</v>
      </c>
      <c r="E14" s="13" t="s">
        <v>80</v>
      </c>
      <c r="F14" s="22" t="s">
        <v>9</v>
      </c>
      <c r="G14" s="13" t="s">
        <v>0</v>
      </c>
      <c r="H14" s="12" t="s">
        <v>439</v>
      </c>
      <c r="I14" s="11">
        <v>1500</v>
      </c>
      <c r="J14" s="10"/>
      <c r="K14" s="9">
        <v>1500</v>
      </c>
      <c r="L14" s="8">
        <f t="shared" si="0"/>
        <v>0</v>
      </c>
    </row>
    <row r="15" spans="1:12" ht="162" customHeight="1" thickBot="1" x14ac:dyDescent="0.3">
      <c r="A15" s="46" t="s">
        <v>36</v>
      </c>
      <c r="B15" s="13" t="s">
        <v>239</v>
      </c>
      <c r="C15" s="12" t="s">
        <v>163</v>
      </c>
      <c r="D15" s="12" t="s">
        <v>24</v>
      </c>
      <c r="E15" s="13" t="s">
        <v>252</v>
      </c>
      <c r="F15" s="22" t="s">
        <v>102</v>
      </c>
      <c r="G15" s="13" t="s">
        <v>37</v>
      </c>
      <c r="H15" s="12" t="s">
        <v>421</v>
      </c>
      <c r="I15" s="11">
        <v>917</v>
      </c>
      <c r="J15" s="10"/>
      <c r="K15" s="9">
        <v>917</v>
      </c>
      <c r="L15" s="8">
        <f t="shared" si="0"/>
        <v>0</v>
      </c>
    </row>
    <row r="16" spans="1:12" ht="162" customHeight="1" thickBot="1" x14ac:dyDescent="0.3">
      <c r="A16" s="47"/>
      <c r="B16" s="13" t="s">
        <v>239</v>
      </c>
      <c r="C16" s="12" t="s">
        <v>163</v>
      </c>
      <c r="D16" s="12" t="s">
        <v>24</v>
      </c>
      <c r="E16" s="13" t="s">
        <v>440</v>
      </c>
      <c r="F16" s="22" t="s">
        <v>102</v>
      </c>
      <c r="G16" s="13" t="s">
        <v>37</v>
      </c>
      <c r="H16" s="12" t="s">
        <v>421</v>
      </c>
      <c r="I16" s="11">
        <v>797</v>
      </c>
      <c r="J16" s="10"/>
      <c r="K16" s="9">
        <v>797</v>
      </c>
      <c r="L16" s="8">
        <f t="shared" si="0"/>
        <v>0</v>
      </c>
    </row>
    <row r="17" spans="1:12" ht="162" customHeight="1" thickBot="1" x14ac:dyDescent="0.3">
      <c r="A17" s="47"/>
      <c r="B17" s="13" t="s">
        <v>77</v>
      </c>
      <c r="C17" s="12" t="s">
        <v>27</v>
      </c>
      <c r="D17" s="12" t="s">
        <v>24</v>
      </c>
      <c r="E17" s="23" t="s">
        <v>39</v>
      </c>
      <c r="F17" s="22" t="s">
        <v>4</v>
      </c>
      <c r="G17" s="13" t="s">
        <v>0</v>
      </c>
      <c r="H17" s="12" t="s">
        <v>421</v>
      </c>
      <c r="I17" s="11">
        <v>603</v>
      </c>
      <c r="J17" s="10"/>
      <c r="K17" s="9">
        <v>603</v>
      </c>
      <c r="L17" s="8">
        <f t="shared" si="0"/>
        <v>0</v>
      </c>
    </row>
    <row r="18" spans="1:12" ht="162" customHeight="1" thickBot="1" x14ac:dyDescent="0.3">
      <c r="A18" s="47"/>
      <c r="B18" s="13" t="s">
        <v>77</v>
      </c>
      <c r="C18" s="12" t="s">
        <v>27</v>
      </c>
      <c r="D18" s="12" t="s">
        <v>24</v>
      </c>
      <c r="E18" s="23" t="s">
        <v>111</v>
      </c>
      <c r="F18" s="22" t="s">
        <v>4</v>
      </c>
      <c r="G18" s="13" t="s">
        <v>0</v>
      </c>
      <c r="H18" s="12" t="s">
        <v>421</v>
      </c>
      <c r="I18" s="11">
        <v>478</v>
      </c>
      <c r="J18" s="10"/>
      <c r="K18" s="9">
        <v>478</v>
      </c>
      <c r="L18" s="8">
        <f t="shared" si="0"/>
        <v>0</v>
      </c>
    </row>
    <row r="19" spans="1:12" ht="162" customHeight="1" thickBot="1" x14ac:dyDescent="0.3">
      <c r="A19" s="47"/>
      <c r="B19" s="13" t="s">
        <v>28</v>
      </c>
      <c r="C19" s="12" t="s">
        <v>34</v>
      </c>
      <c r="D19" s="12" t="s">
        <v>24</v>
      </c>
      <c r="E19" s="13" t="s">
        <v>33</v>
      </c>
      <c r="F19" s="22" t="s">
        <v>4</v>
      </c>
      <c r="G19" s="13" t="s">
        <v>0</v>
      </c>
      <c r="H19" s="12" t="s">
        <v>421</v>
      </c>
      <c r="I19" s="11">
        <v>2933</v>
      </c>
      <c r="J19" s="10"/>
      <c r="K19" s="9">
        <v>2933</v>
      </c>
      <c r="L19" s="8">
        <f t="shared" si="0"/>
        <v>0</v>
      </c>
    </row>
    <row r="20" spans="1:12" ht="162" hidden="1" customHeight="1" thickBot="1" x14ac:dyDescent="0.3">
      <c r="A20" s="47"/>
      <c r="B20" s="13" t="s">
        <v>28</v>
      </c>
      <c r="C20" s="12" t="s">
        <v>34</v>
      </c>
      <c r="D20" s="12" t="s">
        <v>24</v>
      </c>
      <c r="E20" s="13" t="s">
        <v>33</v>
      </c>
      <c r="F20" s="22" t="s">
        <v>4</v>
      </c>
      <c r="G20" s="13" t="s">
        <v>0</v>
      </c>
      <c r="H20" s="12" t="s">
        <v>421</v>
      </c>
      <c r="I20" s="11">
        <v>1000</v>
      </c>
      <c r="J20" s="10">
        <v>1000</v>
      </c>
      <c r="K20" s="9"/>
      <c r="L20" s="8">
        <f t="shared" si="0"/>
        <v>0</v>
      </c>
    </row>
    <row r="21" spans="1:12" ht="162" customHeight="1" thickBot="1" x14ac:dyDescent="0.3">
      <c r="A21" s="47"/>
      <c r="B21" s="13" t="s">
        <v>32</v>
      </c>
      <c r="C21" s="12" t="s">
        <v>31</v>
      </c>
      <c r="D21" s="12" t="s">
        <v>24</v>
      </c>
      <c r="E21" s="13" t="s">
        <v>116</v>
      </c>
      <c r="F21" s="22" t="s">
        <v>9</v>
      </c>
      <c r="G21" s="13" t="s">
        <v>0</v>
      </c>
      <c r="H21" s="12" t="s">
        <v>439</v>
      </c>
      <c r="I21" s="11">
        <v>1660</v>
      </c>
      <c r="J21" s="10">
        <v>500</v>
      </c>
      <c r="K21" s="9">
        <v>1160</v>
      </c>
      <c r="L21" s="8">
        <f t="shared" si="0"/>
        <v>0</v>
      </c>
    </row>
    <row r="22" spans="1:12" ht="162" customHeight="1" thickBot="1" x14ac:dyDescent="0.3">
      <c r="A22" s="47"/>
      <c r="B22" s="13" t="s">
        <v>95</v>
      </c>
      <c r="C22" s="12" t="s">
        <v>15</v>
      </c>
      <c r="D22" s="12" t="s">
        <v>24</v>
      </c>
      <c r="E22" s="13" t="s">
        <v>362</v>
      </c>
      <c r="F22" s="22" t="s">
        <v>4</v>
      </c>
      <c r="G22" s="13" t="s">
        <v>0</v>
      </c>
      <c r="H22" s="12" t="s">
        <v>421</v>
      </c>
      <c r="I22" s="11">
        <v>2866</v>
      </c>
      <c r="J22" s="10">
        <v>1000</v>
      </c>
      <c r="K22" s="9">
        <v>1866</v>
      </c>
      <c r="L22" s="8">
        <f t="shared" si="0"/>
        <v>0</v>
      </c>
    </row>
    <row r="23" spans="1:12" ht="162" hidden="1" customHeight="1" thickBot="1" x14ac:dyDescent="0.3">
      <c r="A23" s="47"/>
      <c r="B23" s="24" t="s">
        <v>38</v>
      </c>
      <c r="C23" s="12" t="s">
        <v>27</v>
      </c>
      <c r="D23" s="22" t="s">
        <v>24</v>
      </c>
      <c r="E23" s="13" t="s">
        <v>39</v>
      </c>
      <c r="F23" s="22" t="s">
        <v>4</v>
      </c>
      <c r="G23" s="13" t="s">
        <v>0</v>
      </c>
      <c r="H23" s="12" t="s">
        <v>421</v>
      </c>
      <c r="I23" s="11">
        <v>500</v>
      </c>
      <c r="J23" s="41">
        <v>500</v>
      </c>
      <c r="K23" s="9"/>
      <c r="L23" s="8">
        <f t="shared" si="0"/>
        <v>0</v>
      </c>
    </row>
    <row r="24" spans="1:12" ht="162" customHeight="1" thickBot="1" x14ac:dyDescent="0.3">
      <c r="A24" s="47"/>
      <c r="B24" s="24" t="s">
        <v>38</v>
      </c>
      <c r="C24" s="12" t="s">
        <v>27</v>
      </c>
      <c r="D24" s="22" t="s">
        <v>24</v>
      </c>
      <c r="E24" s="13" t="s">
        <v>111</v>
      </c>
      <c r="F24" s="22" t="s">
        <v>4</v>
      </c>
      <c r="G24" s="13" t="s">
        <v>8</v>
      </c>
      <c r="H24" s="12" t="s">
        <v>421</v>
      </c>
      <c r="I24" s="11">
        <v>30</v>
      </c>
      <c r="J24" s="10"/>
      <c r="K24" s="9">
        <v>30</v>
      </c>
      <c r="L24" s="8">
        <f t="shared" si="0"/>
        <v>0</v>
      </c>
    </row>
    <row r="25" spans="1:12" ht="162" customHeight="1" thickBot="1" x14ac:dyDescent="0.3">
      <c r="A25" s="47"/>
      <c r="B25" s="24" t="s">
        <v>38</v>
      </c>
      <c r="C25" s="12" t="s">
        <v>27</v>
      </c>
      <c r="D25" s="12" t="s">
        <v>24</v>
      </c>
      <c r="E25" s="13" t="s">
        <v>111</v>
      </c>
      <c r="F25" s="22" t="s">
        <v>4</v>
      </c>
      <c r="G25" s="13" t="s">
        <v>0</v>
      </c>
      <c r="H25" s="12" t="s">
        <v>421</v>
      </c>
      <c r="I25" s="11">
        <v>2500</v>
      </c>
      <c r="J25" s="10">
        <v>1000</v>
      </c>
      <c r="K25" s="9">
        <v>1500</v>
      </c>
      <c r="L25" s="8">
        <f t="shared" si="0"/>
        <v>0</v>
      </c>
    </row>
    <row r="26" spans="1:12" ht="162" customHeight="1" thickBot="1" x14ac:dyDescent="0.3">
      <c r="A26" s="48"/>
      <c r="B26" s="24" t="s">
        <v>77</v>
      </c>
      <c r="C26" s="12" t="s">
        <v>27</v>
      </c>
      <c r="D26" s="12" t="s">
        <v>24</v>
      </c>
      <c r="E26" s="13" t="s">
        <v>197</v>
      </c>
      <c r="F26" s="22" t="s">
        <v>380</v>
      </c>
      <c r="G26" s="13" t="s">
        <v>0</v>
      </c>
      <c r="H26" s="12" t="s">
        <v>421</v>
      </c>
      <c r="I26" s="11">
        <v>1220</v>
      </c>
      <c r="J26" s="10">
        <v>500</v>
      </c>
      <c r="K26" s="9">
        <v>720</v>
      </c>
      <c r="L26" s="8">
        <f t="shared" si="0"/>
        <v>0</v>
      </c>
    </row>
    <row r="27" spans="1:12" ht="162" customHeight="1" thickBot="1" x14ac:dyDescent="0.3">
      <c r="A27" s="46" t="s">
        <v>23</v>
      </c>
      <c r="B27" s="24" t="s">
        <v>223</v>
      </c>
      <c r="C27" s="12" t="s">
        <v>17</v>
      </c>
      <c r="D27" s="12" t="s">
        <v>311</v>
      </c>
      <c r="E27" s="13" t="s">
        <v>312</v>
      </c>
      <c r="F27" s="22" t="s">
        <v>122</v>
      </c>
      <c r="G27" s="13" t="s">
        <v>0</v>
      </c>
      <c r="H27" s="12" t="s">
        <v>439</v>
      </c>
      <c r="I27" s="11">
        <v>2000</v>
      </c>
      <c r="J27" s="10">
        <v>1000</v>
      </c>
      <c r="K27" s="9">
        <v>1000</v>
      </c>
      <c r="L27" s="8">
        <f t="shared" si="0"/>
        <v>0</v>
      </c>
    </row>
    <row r="28" spans="1:12" ht="162" customHeight="1" thickBot="1" x14ac:dyDescent="0.3">
      <c r="A28" s="47"/>
      <c r="B28" s="24" t="s">
        <v>223</v>
      </c>
      <c r="C28" s="12" t="s">
        <v>17</v>
      </c>
      <c r="D28" s="12" t="s">
        <v>311</v>
      </c>
      <c r="E28" s="23" t="s">
        <v>312</v>
      </c>
      <c r="F28" s="22" t="s">
        <v>122</v>
      </c>
      <c r="G28" s="13" t="s">
        <v>0</v>
      </c>
      <c r="H28" s="12" t="s">
        <v>439</v>
      </c>
      <c r="I28" s="11">
        <v>2000</v>
      </c>
      <c r="J28" s="10"/>
      <c r="K28" s="9">
        <v>2000</v>
      </c>
      <c r="L28" s="8">
        <f t="shared" si="0"/>
        <v>0</v>
      </c>
    </row>
    <row r="29" spans="1:12" ht="162" customHeight="1" thickBot="1" x14ac:dyDescent="0.3">
      <c r="A29" s="48"/>
      <c r="B29" s="24" t="s">
        <v>12</v>
      </c>
      <c r="C29" s="12" t="s">
        <v>6</v>
      </c>
      <c r="D29" s="12" t="s">
        <v>20</v>
      </c>
      <c r="E29" s="13" t="s">
        <v>22</v>
      </c>
      <c r="F29" s="22" t="s">
        <v>4</v>
      </c>
      <c r="G29" s="13" t="s">
        <v>0</v>
      </c>
      <c r="H29" s="12" t="s">
        <v>439</v>
      </c>
      <c r="I29" s="11">
        <v>5902</v>
      </c>
      <c r="J29" s="10">
        <v>2000</v>
      </c>
      <c r="K29" s="9">
        <v>3902</v>
      </c>
      <c r="L29" s="8">
        <f t="shared" si="0"/>
        <v>0</v>
      </c>
    </row>
    <row r="30" spans="1:12" ht="162" customHeight="1" thickBot="1" x14ac:dyDescent="0.3">
      <c r="A30" s="42"/>
      <c r="B30" s="24" t="s">
        <v>104</v>
      </c>
      <c r="C30" s="12" t="s">
        <v>211</v>
      </c>
      <c r="D30" s="12" t="s">
        <v>60</v>
      </c>
      <c r="E30" s="23" t="s">
        <v>398</v>
      </c>
      <c r="F30" s="22" t="s">
        <v>64</v>
      </c>
      <c r="G30" s="13" t="s">
        <v>37</v>
      </c>
      <c r="H30" s="12" t="s">
        <v>439</v>
      </c>
      <c r="I30" s="11">
        <v>27</v>
      </c>
      <c r="J30" s="10"/>
      <c r="K30" s="9">
        <v>27</v>
      </c>
      <c r="L30" s="8">
        <f t="shared" si="0"/>
        <v>0</v>
      </c>
    </row>
    <row r="31" spans="1:12" ht="162" customHeight="1" thickBot="1" x14ac:dyDescent="0.3">
      <c r="A31" s="42"/>
      <c r="B31" s="24" t="s">
        <v>104</v>
      </c>
      <c r="C31" s="12" t="s">
        <v>211</v>
      </c>
      <c r="D31" s="12" t="s">
        <v>60</v>
      </c>
      <c r="E31" s="23" t="s">
        <v>256</v>
      </c>
      <c r="F31" s="22" t="s">
        <v>64</v>
      </c>
      <c r="G31" s="13" t="s">
        <v>37</v>
      </c>
      <c r="H31" s="12" t="s">
        <v>439</v>
      </c>
      <c r="I31" s="11">
        <v>2</v>
      </c>
      <c r="J31" s="10"/>
      <c r="K31" s="9">
        <v>2</v>
      </c>
      <c r="L31" s="8">
        <f t="shared" si="0"/>
        <v>0</v>
      </c>
    </row>
    <row r="32" spans="1:12" ht="162" customHeight="1" thickBot="1" x14ac:dyDescent="0.3">
      <c r="A32" s="42"/>
      <c r="B32" s="24" t="s">
        <v>104</v>
      </c>
      <c r="C32" s="12" t="s">
        <v>211</v>
      </c>
      <c r="D32" s="12" t="s">
        <v>60</v>
      </c>
      <c r="E32" s="23" t="s">
        <v>399</v>
      </c>
      <c r="F32" s="22" t="s">
        <v>64</v>
      </c>
      <c r="G32" s="13" t="s">
        <v>37</v>
      </c>
      <c r="H32" s="12" t="s">
        <v>439</v>
      </c>
      <c r="I32" s="11">
        <v>1</v>
      </c>
      <c r="J32" s="10"/>
      <c r="K32" s="9">
        <v>1</v>
      </c>
      <c r="L32" s="8">
        <f t="shared" si="0"/>
        <v>0</v>
      </c>
    </row>
    <row r="33" spans="1:12" ht="162" customHeight="1" thickBot="1" x14ac:dyDescent="0.3">
      <c r="A33" s="42"/>
      <c r="B33" s="24" t="s">
        <v>104</v>
      </c>
      <c r="C33" s="12" t="s">
        <v>211</v>
      </c>
      <c r="D33" s="12" t="s">
        <v>60</v>
      </c>
      <c r="E33" s="23" t="s">
        <v>400</v>
      </c>
      <c r="F33" s="22" t="s">
        <v>64</v>
      </c>
      <c r="G33" s="13" t="s">
        <v>37</v>
      </c>
      <c r="H33" s="12" t="s">
        <v>439</v>
      </c>
      <c r="I33" s="11">
        <v>21</v>
      </c>
      <c r="J33" s="10"/>
      <c r="K33" s="9">
        <v>21</v>
      </c>
      <c r="L33" s="8">
        <f t="shared" si="0"/>
        <v>0</v>
      </c>
    </row>
    <row r="34" spans="1:12" ht="162" customHeight="1" thickBot="1" x14ac:dyDescent="0.3">
      <c r="A34" s="42"/>
      <c r="B34" s="24" t="s">
        <v>104</v>
      </c>
      <c r="C34" s="12" t="s">
        <v>211</v>
      </c>
      <c r="D34" s="12" t="s">
        <v>60</v>
      </c>
      <c r="E34" s="23" t="s">
        <v>402</v>
      </c>
      <c r="F34" s="22" t="s">
        <v>64</v>
      </c>
      <c r="G34" s="13" t="s">
        <v>37</v>
      </c>
      <c r="H34" s="12" t="s">
        <v>439</v>
      </c>
      <c r="I34" s="11">
        <v>22</v>
      </c>
      <c r="J34" s="10"/>
      <c r="K34" s="9">
        <v>22</v>
      </c>
      <c r="L34" s="8">
        <f t="shared" si="0"/>
        <v>0</v>
      </c>
    </row>
    <row r="35" spans="1:12" ht="162" customHeight="1" thickBot="1" x14ac:dyDescent="0.3">
      <c r="A35" s="42"/>
      <c r="B35" s="24" t="s">
        <v>104</v>
      </c>
      <c r="C35" s="12" t="s">
        <v>211</v>
      </c>
      <c r="D35" s="12" t="s">
        <v>60</v>
      </c>
      <c r="E35" s="23" t="s">
        <v>405</v>
      </c>
      <c r="F35" s="22" t="s">
        <v>64</v>
      </c>
      <c r="G35" s="13" t="s">
        <v>37</v>
      </c>
      <c r="H35" s="12" t="s">
        <v>439</v>
      </c>
      <c r="I35" s="11">
        <v>64</v>
      </c>
      <c r="J35" s="10"/>
      <c r="K35" s="9">
        <v>64</v>
      </c>
      <c r="L35" s="8">
        <f t="shared" si="0"/>
        <v>0</v>
      </c>
    </row>
    <row r="36" spans="1:12" ht="162" customHeight="1" thickBot="1" x14ac:dyDescent="0.3">
      <c r="A36" s="42"/>
      <c r="B36" s="24" t="s">
        <v>104</v>
      </c>
      <c r="C36" s="12" t="s">
        <v>105</v>
      </c>
      <c r="D36" s="12" t="s">
        <v>60</v>
      </c>
      <c r="E36" s="23" t="s">
        <v>443</v>
      </c>
      <c r="F36" s="22" t="s">
        <v>64</v>
      </c>
      <c r="G36" s="13" t="s">
        <v>37</v>
      </c>
      <c r="H36" s="12" t="s">
        <v>421</v>
      </c>
      <c r="I36" s="11">
        <v>400</v>
      </c>
      <c r="J36" s="10"/>
      <c r="K36" s="9">
        <v>400</v>
      </c>
      <c r="L36" s="8">
        <f t="shared" si="0"/>
        <v>0</v>
      </c>
    </row>
    <row r="37" spans="1:12" ht="162" customHeight="1" thickBot="1" x14ac:dyDescent="0.3">
      <c r="A37" s="46" t="s">
        <v>54</v>
      </c>
      <c r="B37" s="24" t="s">
        <v>104</v>
      </c>
      <c r="C37" s="12" t="s">
        <v>118</v>
      </c>
      <c r="D37" s="12" t="s">
        <v>60</v>
      </c>
      <c r="E37" s="13" t="s">
        <v>258</v>
      </c>
      <c r="F37" s="22" t="s">
        <v>64</v>
      </c>
      <c r="G37" s="13" t="s">
        <v>37</v>
      </c>
      <c r="H37" s="12" t="s">
        <v>421</v>
      </c>
      <c r="I37" s="11">
        <v>10</v>
      </c>
      <c r="J37" s="10"/>
      <c r="K37" s="9">
        <v>10</v>
      </c>
      <c r="L37" s="8">
        <f t="shared" si="0"/>
        <v>0</v>
      </c>
    </row>
    <row r="38" spans="1:12" ht="162" customHeight="1" thickBot="1" x14ac:dyDescent="0.3">
      <c r="A38" s="47"/>
      <c r="B38" s="24" t="s">
        <v>104</v>
      </c>
      <c r="C38" s="12" t="s">
        <v>118</v>
      </c>
      <c r="D38" s="12" t="s">
        <v>60</v>
      </c>
      <c r="E38" s="13" t="s">
        <v>259</v>
      </c>
      <c r="F38" s="22" t="s">
        <v>64</v>
      </c>
      <c r="G38" s="13" t="s">
        <v>37</v>
      </c>
      <c r="H38" s="12" t="s">
        <v>421</v>
      </c>
      <c r="I38" s="11">
        <v>10</v>
      </c>
      <c r="J38" s="10"/>
      <c r="K38" s="9">
        <v>10</v>
      </c>
      <c r="L38" s="8">
        <f t="shared" si="0"/>
        <v>0</v>
      </c>
    </row>
    <row r="39" spans="1:12" ht="162" customHeight="1" thickBot="1" x14ac:dyDescent="0.3">
      <c r="A39" s="47"/>
      <c r="B39" s="24" t="s">
        <v>104</v>
      </c>
      <c r="C39" s="12" t="s">
        <v>118</v>
      </c>
      <c r="D39" s="12" t="s">
        <v>60</v>
      </c>
      <c r="E39" s="13" t="s">
        <v>260</v>
      </c>
      <c r="F39" s="22" t="s">
        <v>64</v>
      </c>
      <c r="G39" s="13" t="s">
        <v>37</v>
      </c>
      <c r="H39" s="12" t="s">
        <v>421</v>
      </c>
      <c r="I39" s="11">
        <v>10</v>
      </c>
      <c r="J39" s="10"/>
      <c r="K39" s="9">
        <v>10</v>
      </c>
      <c r="L39" s="8">
        <f t="shared" si="0"/>
        <v>0</v>
      </c>
    </row>
    <row r="40" spans="1:12" ht="162" customHeight="1" thickBot="1" x14ac:dyDescent="0.3">
      <c r="A40" s="47"/>
      <c r="B40" s="24" t="s">
        <v>104</v>
      </c>
      <c r="C40" s="12" t="s">
        <v>118</v>
      </c>
      <c r="D40" s="12" t="s">
        <v>60</v>
      </c>
      <c r="E40" s="13" t="s">
        <v>261</v>
      </c>
      <c r="F40" s="22" t="s">
        <v>64</v>
      </c>
      <c r="G40" s="13" t="s">
        <v>37</v>
      </c>
      <c r="H40" s="12" t="s">
        <v>421</v>
      </c>
      <c r="I40" s="11">
        <v>10</v>
      </c>
      <c r="J40" s="10"/>
      <c r="K40" s="9">
        <v>10</v>
      </c>
      <c r="L40" s="8">
        <f t="shared" si="0"/>
        <v>0</v>
      </c>
    </row>
    <row r="41" spans="1:12" ht="162" customHeight="1" thickBot="1" x14ac:dyDescent="0.3">
      <c r="A41" s="47"/>
      <c r="B41" s="24" t="s">
        <v>104</v>
      </c>
      <c r="C41" s="12" t="s">
        <v>118</v>
      </c>
      <c r="D41" s="12" t="s">
        <v>60</v>
      </c>
      <c r="E41" s="13" t="s">
        <v>262</v>
      </c>
      <c r="F41" s="22" t="s">
        <v>64</v>
      </c>
      <c r="G41" s="13" t="s">
        <v>37</v>
      </c>
      <c r="H41" s="12" t="s">
        <v>421</v>
      </c>
      <c r="I41" s="11">
        <v>44</v>
      </c>
      <c r="J41" s="10"/>
      <c r="K41" s="9">
        <v>44</v>
      </c>
      <c r="L41" s="8">
        <f t="shared" si="0"/>
        <v>0</v>
      </c>
    </row>
    <row r="42" spans="1:12" ht="162" customHeight="1" thickBot="1" x14ac:dyDescent="0.3">
      <c r="A42" s="47"/>
      <c r="B42" s="24" t="s">
        <v>104</v>
      </c>
      <c r="C42" s="12" t="s">
        <v>118</v>
      </c>
      <c r="D42" s="12" t="s">
        <v>60</v>
      </c>
      <c r="E42" s="13" t="s">
        <v>263</v>
      </c>
      <c r="F42" s="22" t="s">
        <v>64</v>
      </c>
      <c r="G42" s="13" t="s">
        <v>37</v>
      </c>
      <c r="H42" s="12" t="s">
        <v>421</v>
      </c>
      <c r="I42" s="11">
        <v>37</v>
      </c>
      <c r="J42" s="10"/>
      <c r="K42" s="9">
        <v>37</v>
      </c>
      <c r="L42" s="8">
        <f t="shared" si="0"/>
        <v>0</v>
      </c>
    </row>
    <row r="43" spans="1:12" ht="162" hidden="1" customHeight="1" thickBot="1" x14ac:dyDescent="0.3">
      <c r="A43" s="47"/>
      <c r="B43" s="24" t="s">
        <v>104</v>
      </c>
      <c r="C43" s="12" t="s">
        <v>118</v>
      </c>
      <c r="D43" s="12" t="s">
        <v>60</v>
      </c>
      <c r="E43" s="13" t="s">
        <v>264</v>
      </c>
      <c r="F43" s="22" t="s">
        <v>64</v>
      </c>
      <c r="G43" s="13" t="s">
        <v>37</v>
      </c>
      <c r="H43" s="12" t="s">
        <v>421</v>
      </c>
      <c r="I43" s="11">
        <v>200</v>
      </c>
      <c r="J43" s="10">
        <v>200</v>
      </c>
      <c r="K43" s="9"/>
      <c r="L43" s="8">
        <f t="shared" si="0"/>
        <v>0</v>
      </c>
    </row>
    <row r="44" spans="1:12" ht="162" customHeight="1" thickBot="1" x14ac:dyDescent="0.3">
      <c r="A44" s="48"/>
      <c r="B44" s="24" t="s">
        <v>104</v>
      </c>
      <c r="C44" s="12" t="s">
        <v>118</v>
      </c>
      <c r="D44" s="12" t="s">
        <v>60</v>
      </c>
      <c r="E44" s="13" t="s">
        <v>441</v>
      </c>
      <c r="F44" s="22" t="s">
        <v>64</v>
      </c>
      <c r="G44" s="13" t="s">
        <v>37</v>
      </c>
      <c r="H44" s="12" t="s">
        <v>421</v>
      </c>
      <c r="I44" s="11">
        <v>200</v>
      </c>
      <c r="J44" s="10"/>
      <c r="K44" s="9">
        <v>200</v>
      </c>
      <c r="L44" s="8">
        <f t="shared" si="0"/>
        <v>0</v>
      </c>
    </row>
    <row r="45" spans="1:12" ht="162" customHeight="1" thickBot="1" x14ac:dyDescent="0.3">
      <c r="A45" s="46" t="s">
        <v>19</v>
      </c>
      <c r="B45" s="24" t="s">
        <v>7</v>
      </c>
      <c r="C45" s="12" t="s">
        <v>6</v>
      </c>
      <c r="D45" s="12" t="s">
        <v>1</v>
      </c>
      <c r="E45" s="13" t="s">
        <v>5</v>
      </c>
      <c r="F45" s="22" t="s">
        <v>9</v>
      </c>
      <c r="G45" s="13" t="s">
        <v>0</v>
      </c>
      <c r="H45" s="12" t="s">
        <v>439</v>
      </c>
      <c r="I45" s="11">
        <v>2000</v>
      </c>
      <c r="J45" s="10">
        <v>1000</v>
      </c>
      <c r="K45" s="9">
        <v>1000</v>
      </c>
      <c r="L45" s="8">
        <f t="shared" si="0"/>
        <v>0</v>
      </c>
    </row>
    <row r="46" spans="1:12" ht="162" customHeight="1" thickBot="1" x14ac:dyDescent="0.3">
      <c r="A46" s="47"/>
      <c r="B46" s="24" t="s">
        <v>7</v>
      </c>
      <c r="C46" s="12" t="s">
        <v>17</v>
      </c>
      <c r="D46" s="12" t="s">
        <v>120</v>
      </c>
      <c r="E46" s="23" t="s">
        <v>121</v>
      </c>
      <c r="F46" s="22" t="s">
        <v>122</v>
      </c>
      <c r="G46" s="13" t="s">
        <v>0</v>
      </c>
      <c r="H46" s="12" t="s">
        <v>437</v>
      </c>
      <c r="I46" s="11">
        <v>4000</v>
      </c>
      <c r="J46" s="10"/>
      <c r="K46" s="9">
        <v>4000</v>
      </c>
      <c r="L46" s="8">
        <f t="shared" si="0"/>
        <v>0</v>
      </c>
    </row>
    <row r="47" spans="1:12" ht="162" customHeight="1" thickBot="1" x14ac:dyDescent="0.3">
      <c r="A47" s="47"/>
      <c r="B47" s="24" t="s">
        <v>7</v>
      </c>
      <c r="C47" s="12" t="s">
        <v>17</v>
      </c>
      <c r="D47" s="12" t="s">
        <v>120</v>
      </c>
      <c r="E47" s="23" t="s">
        <v>121</v>
      </c>
      <c r="F47" s="22" t="s">
        <v>122</v>
      </c>
      <c r="G47" s="13" t="s">
        <v>0</v>
      </c>
      <c r="H47" s="12" t="s">
        <v>439</v>
      </c>
      <c r="I47" s="11">
        <v>6000</v>
      </c>
      <c r="J47" s="10"/>
      <c r="K47" s="9">
        <v>6000</v>
      </c>
      <c r="L47" s="8">
        <f t="shared" si="0"/>
        <v>0</v>
      </c>
    </row>
    <row r="48" spans="1:12" ht="162" customHeight="1" thickBot="1" x14ac:dyDescent="0.3">
      <c r="A48" s="47"/>
      <c r="B48" s="24" t="s">
        <v>194</v>
      </c>
      <c r="C48" s="12" t="s">
        <v>118</v>
      </c>
      <c r="D48" s="12" t="s">
        <v>1</v>
      </c>
      <c r="E48" s="23" t="s">
        <v>216</v>
      </c>
      <c r="F48" s="22" t="s">
        <v>122</v>
      </c>
      <c r="G48" s="13" t="s">
        <v>0</v>
      </c>
      <c r="H48" s="12" t="s">
        <v>437</v>
      </c>
      <c r="I48" s="11">
        <v>2000</v>
      </c>
      <c r="J48" s="10"/>
      <c r="K48" s="9">
        <v>2000</v>
      </c>
      <c r="L48" s="8">
        <f t="shared" si="0"/>
        <v>0</v>
      </c>
    </row>
    <row r="49" spans="1:12" ht="162" customHeight="1" thickBot="1" x14ac:dyDescent="0.3">
      <c r="A49" s="47"/>
      <c r="B49" s="24" t="s">
        <v>12</v>
      </c>
      <c r="C49" s="12" t="s">
        <v>285</v>
      </c>
      <c r="D49" s="12" t="s">
        <v>1</v>
      </c>
      <c r="E49" s="23" t="s">
        <v>444</v>
      </c>
      <c r="F49" s="22" t="s">
        <v>122</v>
      </c>
      <c r="G49" s="13" t="s">
        <v>0</v>
      </c>
      <c r="H49" s="12" t="s">
        <v>439</v>
      </c>
      <c r="I49" s="11">
        <v>279</v>
      </c>
      <c r="J49" s="10"/>
      <c r="K49" s="9">
        <v>279</v>
      </c>
      <c r="L49" s="8">
        <f t="shared" si="0"/>
        <v>0</v>
      </c>
    </row>
    <row r="50" spans="1:12" ht="162" customHeight="1" thickBot="1" x14ac:dyDescent="0.3">
      <c r="A50" s="48"/>
      <c r="B50" s="24" t="s">
        <v>7</v>
      </c>
      <c r="C50" s="12" t="s">
        <v>6</v>
      </c>
      <c r="D50" s="12" t="s">
        <v>1</v>
      </c>
      <c r="E50" s="13" t="s">
        <v>5</v>
      </c>
      <c r="F50" s="22" t="s">
        <v>4</v>
      </c>
      <c r="G50" s="13" t="s">
        <v>0</v>
      </c>
      <c r="H50" s="12" t="s">
        <v>421</v>
      </c>
      <c r="I50" s="11">
        <v>2722</v>
      </c>
      <c r="J50" s="10"/>
      <c r="K50" s="9">
        <v>2722</v>
      </c>
      <c r="L50" s="8">
        <f t="shared" si="0"/>
        <v>0</v>
      </c>
    </row>
  </sheetData>
  <autoFilter ref="A2:L50">
    <filterColumn colId="10">
      <customFilters>
        <customFilter operator="notEqual" val=" "/>
      </customFilters>
    </filterColumn>
  </autoFilter>
  <dataConsolidate/>
  <mergeCells count="6">
    <mergeCell ref="A45:A50"/>
    <mergeCell ref="A1:L1"/>
    <mergeCell ref="A27:A29"/>
    <mergeCell ref="A3:A14"/>
    <mergeCell ref="A15:A26"/>
    <mergeCell ref="A37:A44"/>
  </mergeCells>
  <conditionalFormatting sqref="I2:I50 K3:L50">
    <cfRule type="cellIs" dxfId="25" priority="2" operator="lessThan">
      <formula>0</formula>
    </cfRule>
  </conditionalFormatting>
  <conditionalFormatting sqref="L2">
    <cfRule type="cellIs" dxfId="24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8"/>
  <sheetViews>
    <sheetView showGridLines="0" view="pageBreakPreview" topLeftCell="A44" zoomScale="20" zoomScaleNormal="15" zoomScaleSheetLayoutView="20" workbookViewId="0">
      <selection activeCell="K49" sqref="K49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445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325</v>
      </c>
      <c r="C3" s="12" t="s">
        <v>34</v>
      </c>
      <c r="D3" s="12" t="s">
        <v>24</v>
      </c>
      <c r="E3" s="13" t="s">
        <v>33</v>
      </c>
      <c r="F3" s="22" t="s">
        <v>4</v>
      </c>
      <c r="G3" s="13" t="s">
        <v>0</v>
      </c>
      <c r="H3" s="12" t="s">
        <v>439</v>
      </c>
      <c r="I3" s="11">
        <v>7000</v>
      </c>
      <c r="J3" s="10"/>
      <c r="K3" s="9">
        <v>7000</v>
      </c>
      <c r="L3" s="8">
        <f t="shared" ref="L3:L48" si="0">K3+J3-I3</f>
        <v>0</v>
      </c>
    </row>
    <row r="4" spans="1:12" ht="162" customHeight="1" thickBot="1" x14ac:dyDescent="0.3">
      <c r="A4" s="47"/>
      <c r="B4" s="13" t="s">
        <v>325</v>
      </c>
      <c r="C4" s="12" t="s">
        <v>34</v>
      </c>
      <c r="D4" s="12" t="s">
        <v>24</v>
      </c>
      <c r="E4" s="13" t="s">
        <v>33</v>
      </c>
      <c r="F4" s="22" t="s">
        <v>4</v>
      </c>
      <c r="G4" s="13" t="s">
        <v>8</v>
      </c>
      <c r="H4" s="12" t="s">
        <v>439</v>
      </c>
      <c r="I4" s="11">
        <v>200</v>
      </c>
      <c r="J4" s="10"/>
      <c r="K4" s="9">
        <v>200</v>
      </c>
      <c r="L4" s="8">
        <f t="shared" si="0"/>
        <v>0</v>
      </c>
    </row>
    <row r="5" spans="1:12" ht="162" customHeight="1" thickBot="1" x14ac:dyDescent="0.3">
      <c r="A5" s="47"/>
      <c r="B5" s="13" t="s">
        <v>325</v>
      </c>
      <c r="C5" s="12" t="s">
        <v>34</v>
      </c>
      <c r="D5" s="12" t="s">
        <v>24</v>
      </c>
      <c r="E5" s="13" t="s">
        <v>33</v>
      </c>
      <c r="F5" s="22" t="s">
        <v>4</v>
      </c>
      <c r="G5" s="13" t="s">
        <v>0</v>
      </c>
      <c r="H5" s="12" t="s">
        <v>439</v>
      </c>
      <c r="I5" s="11">
        <v>1000</v>
      </c>
      <c r="J5" s="10"/>
      <c r="K5" s="9">
        <v>1000</v>
      </c>
      <c r="L5" s="8">
        <f t="shared" si="0"/>
        <v>0</v>
      </c>
    </row>
    <row r="6" spans="1:12" ht="162" customHeight="1" thickBot="1" x14ac:dyDescent="0.3">
      <c r="A6" s="47"/>
      <c r="B6" s="13" t="s">
        <v>95</v>
      </c>
      <c r="C6" s="12" t="s">
        <v>15</v>
      </c>
      <c r="D6" s="12" t="s">
        <v>24</v>
      </c>
      <c r="E6" s="13" t="s">
        <v>362</v>
      </c>
      <c r="F6" s="22" t="s">
        <v>4</v>
      </c>
      <c r="G6" s="13" t="s">
        <v>0</v>
      </c>
      <c r="H6" s="12" t="s">
        <v>439</v>
      </c>
      <c r="I6" s="11">
        <v>2500</v>
      </c>
      <c r="J6" s="10"/>
      <c r="K6" s="9">
        <v>2500</v>
      </c>
      <c r="L6" s="8">
        <f t="shared" si="0"/>
        <v>0</v>
      </c>
    </row>
    <row r="7" spans="1:12" ht="162" customHeight="1" thickBot="1" x14ac:dyDescent="0.3">
      <c r="A7" s="47"/>
      <c r="B7" s="13" t="s">
        <v>95</v>
      </c>
      <c r="C7" s="12" t="s">
        <v>15</v>
      </c>
      <c r="D7" s="12" t="s">
        <v>24</v>
      </c>
      <c r="E7" s="13" t="s">
        <v>96</v>
      </c>
      <c r="F7" s="22" t="s">
        <v>4</v>
      </c>
      <c r="G7" s="13" t="s">
        <v>0</v>
      </c>
      <c r="H7" s="12" t="s">
        <v>439</v>
      </c>
      <c r="I7" s="11">
        <v>2500</v>
      </c>
      <c r="J7" s="10">
        <v>2000</v>
      </c>
      <c r="K7" s="9">
        <v>500</v>
      </c>
      <c r="L7" s="8">
        <f t="shared" si="0"/>
        <v>0</v>
      </c>
    </row>
    <row r="8" spans="1:12" ht="162" customHeight="1" thickBot="1" x14ac:dyDescent="0.3">
      <c r="A8" s="47"/>
      <c r="B8" s="13" t="s">
        <v>38</v>
      </c>
      <c r="C8" s="12" t="s">
        <v>27</v>
      </c>
      <c r="D8" s="12" t="s">
        <v>24</v>
      </c>
      <c r="E8" s="13" t="s">
        <v>111</v>
      </c>
      <c r="F8" s="22" t="s">
        <v>4</v>
      </c>
      <c r="G8" s="13" t="s">
        <v>0</v>
      </c>
      <c r="H8" s="12" t="s">
        <v>439</v>
      </c>
      <c r="I8" s="11">
        <v>3000</v>
      </c>
      <c r="J8" s="10"/>
      <c r="K8" s="9">
        <v>3000</v>
      </c>
      <c r="L8" s="8">
        <f t="shared" si="0"/>
        <v>0</v>
      </c>
    </row>
    <row r="9" spans="1:12" ht="162" customHeight="1" thickBot="1" x14ac:dyDescent="0.3">
      <c r="A9" s="47"/>
      <c r="B9" s="13" t="s">
        <v>38</v>
      </c>
      <c r="C9" s="12" t="s">
        <v>27</v>
      </c>
      <c r="D9" s="12" t="s">
        <v>24</v>
      </c>
      <c r="E9" s="13" t="s">
        <v>197</v>
      </c>
      <c r="F9" s="22" t="s">
        <v>4</v>
      </c>
      <c r="G9" s="13" t="s">
        <v>0</v>
      </c>
      <c r="H9" s="12" t="s">
        <v>439</v>
      </c>
      <c r="I9" s="11">
        <v>3000</v>
      </c>
      <c r="J9" s="10">
        <v>2000</v>
      </c>
      <c r="K9" s="9">
        <v>1000</v>
      </c>
      <c r="L9" s="8">
        <f t="shared" si="0"/>
        <v>0</v>
      </c>
    </row>
    <row r="10" spans="1:12" ht="162" customHeight="1" thickBot="1" x14ac:dyDescent="0.3">
      <c r="A10" s="47"/>
      <c r="B10" s="13" t="s">
        <v>38</v>
      </c>
      <c r="C10" s="12" t="s">
        <v>27</v>
      </c>
      <c r="D10" s="12" t="s">
        <v>24</v>
      </c>
      <c r="E10" s="13" t="s">
        <v>111</v>
      </c>
      <c r="F10" s="22" t="s">
        <v>4</v>
      </c>
      <c r="G10" s="13" t="s">
        <v>0</v>
      </c>
      <c r="H10" s="12" t="s">
        <v>439</v>
      </c>
      <c r="I10" s="11">
        <v>1000</v>
      </c>
      <c r="J10" s="10"/>
      <c r="K10" s="9">
        <v>1000</v>
      </c>
      <c r="L10" s="8">
        <f t="shared" si="0"/>
        <v>0</v>
      </c>
    </row>
    <row r="11" spans="1:12" ht="162" customHeight="1" thickBot="1" x14ac:dyDescent="0.3">
      <c r="A11" s="47"/>
      <c r="B11" s="13" t="s">
        <v>38</v>
      </c>
      <c r="C11" s="12" t="s">
        <v>27</v>
      </c>
      <c r="D11" s="12" t="s">
        <v>24</v>
      </c>
      <c r="E11" s="13" t="s">
        <v>197</v>
      </c>
      <c r="F11" s="22" t="s">
        <v>4</v>
      </c>
      <c r="G11" s="13" t="s">
        <v>0</v>
      </c>
      <c r="H11" s="12" t="s">
        <v>439</v>
      </c>
      <c r="I11" s="11">
        <v>2000</v>
      </c>
      <c r="J11" s="10"/>
      <c r="K11" s="9">
        <v>2000</v>
      </c>
      <c r="L11" s="8">
        <f t="shared" si="0"/>
        <v>0</v>
      </c>
    </row>
    <row r="12" spans="1:12" ht="162" customHeight="1" thickBot="1" x14ac:dyDescent="0.3">
      <c r="A12" s="47"/>
      <c r="B12" s="13" t="s">
        <v>371</v>
      </c>
      <c r="C12" s="12" t="s">
        <v>113</v>
      </c>
      <c r="D12" s="12" t="s">
        <v>24</v>
      </c>
      <c r="E12" s="13" t="s">
        <v>115</v>
      </c>
      <c r="F12" s="22" t="s">
        <v>9</v>
      </c>
      <c r="G12" s="13" t="s">
        <v>0</v>
      </c>
      <c r="H12" s="12" t="s">
        <v>437</v>
      </c>
      <c r="I12" s="11">
        <v>3500</v>
      </c>
      <c r="J12" s="10">
        <v>2000</v>
      </c>
      <c r="K12" s="9">
        <v>1500</v>
      </c>
      <c r="L12" s="8">
        <f t="shared" si="0"/>
        <v>0</v>
      </c>
    </row>
    <row r="13" spans="1:12" ht="162" customHeight="1" thickBot="1" x14ac:dyDescent="0.3">
      <c r="A13" s="47"/>
      <c r="B13" s="13" t="s">
        <v>371</v>
      </c>
      <c r="C13" s="12" t="s">
        <v>113</v>
      </c>
      <c r="D13" s="12" t="s">
        <v>24</v>
      </c>
      <c r="E13" s="13" t="s">
        <v>115</v>
      </c>
      <c r="F13" s="22" t="s">
        <v>9</v>
      </c>
      <c r="G13" s="13" t="s">
        <v>0</v>
      </c>
      <c r="H13" s="12" t="s">
        <v>437</v>
      </c>
      <c r="I13" s="11">
        <v>1000</v>
      </c>
      <c r="J13" s="10"/>
      <c r="K13" s="9">
        <v>1000</v>
      </c>
      <c r="L13" s="8">
        <f t="shared" si="0"/>
        <v>0</v>
      </c>
    </row>
    <row r="14" spans="1:12" ht="162" customHeight="1" thickBot="1" x14ac:dyDescent="0.3">
      <c r="A14" s="47"/>
      <c r="B14" s="13" t="s">
        <v>32</v>
      </c>
      <c r="C14" s="12" t="s">
        <v>31</v>
      </c>
      <c r="D14" s="12" t="s">
        <v>24</v>
      </c>
      <c r="E14" s="13" t="s">
        <v>116</v>
      </c>
      <c r="F14" s="22" t="s">
        <v>9</v>
      </c>
      <c r="G14" s="13" t="s">
        <v>0</v>
      </c>
      <c r="H14" s="12" t="s">
        <v>437</v>
      </c>
      <c r="I14" s="11">
        <v>2000</v>
      </c>
      <c r="J14" s="10">
        <v>2000</v>
      </c>
      <c r="K14" s="9"/>
      <c r="L14" s="8">
        <f t="shared" si="0"/>
        <v>0</v>
      </c>
    </row>
    <row r="15" spans="1:12" ht="162" customHeight="1" thickBot="1" x14ac:dyDescent="0.3">
      <c r="A15" s="47"/>
      <c r="B15" s="13" t="s">
        <v>32</v>
      </c>
      <c r="C15" s="12" t="s">
        <v>31</v>
      </c>
      <c r="D15" s="12" t="s">
        <v>24</v>
      </c>
      <c r="E15" s="13" t="s">
        <v>80</v>
      </c>
      <c r="F15" s="22" t="s">
        <v>9</v>
      </c>
      <c r="G15" s="13" t="s">
        <v>0</v>
      </c>
      <c r="H15" s="12" t="s">
        <v>437</v>
      </c>
      <c r="I15" s="11">
        <v>2000</v>
      </c>
      <c r="J15" s="10"/>
      <c r="K15" s="9">
        <v>2000</v>
      </c>
      <c r="L15" s="8">
        <f t="shared" si="0"/>
        <v>0</v>
      </c>
    </row>
    <row r="16" spans="1:12" ht="162" customHeight="1" thickBot="1" x14ac:dyDescent="0.3">
      <c r="A16" s="48"/>
      <c r="B16" s="13" t="s">
        <v>32</v>
      </c>
      <c r="C16" s="12" t="s">
        <v>31</v>
      </c>
      <c r="D16" s="12" t="s">
        <v>24</v>
      </c>
      <c r="E16" s="13" t="s">
        <v>80</v>
      </c>
      <c r="F16" s="22" t="s">
        <v>9</v>
      </c>
      <c r="G16" s="13" t="s">
        <v>0</v>
      </c>
      <c r="H16" s="12" t="s">
        <v>437</v>
      </c>
      <c r="I16" s="11">
        <v>1500</v>
      </c>
      <c r="J16" s="10"/>
      <c r="K16" s="9">
        <v>1500</v>
      </c>
      <c r="L16" s="8">
        <f t="shared" si="0"/>
        <v>0</v>
      </c>
    </row>
    <row r="17" spans="1:12" ht="162" customHeight="1" thickBot="1" x14ac:dyDescent="0.3">
      <c r="A17" s="46" t="s">
        <v>36</v>
      </c>
      <c r="B17" s="13" t="s">
        <v>28</v>
      </c>
      <c r="C17" s="12" t="s">
        <v>34</v>
      </c>
      <c r="D17" s="12" t="s">
        <v>24</v>
      </c>
      <c r="E17" s="13" t="s">
        <v>33</v>
      </c>
      <c r="F17" s="22" t="s">
        <v>4</v>
      </c>
      <c r="G17" s="13" t="s">
        <v>0</v>
      </c>
      <c r="H17" s="12" t="s">
        <v>439</v>
      </c>
      <c r="I17" s="11">
        <v>3000</v>
      </c>
      <c r="J17" s="10"/>
      <c r="K17" s="9">
        <v>3000</v>
      </c>
      <c r="L17" s="8">
        <f t="shared" si="0"/>
        <v>0</v>
      </c>
    </row>
    <row r="18" spans="1:12" ht="162" customHeight="1" thickBot="1" x14ac:dyDescent="0.3">
      <c r="A18" s="47"/>
      <c r="B18" s="13" t="s">
        <v>28</v>
      </c>
      <c r="C18" s="12" t="s">
        <v>34</v>
      </c>
      <c r="D18" s="12" t="s">
        <v>24</v>
      </c>
      <c r="E18" s="13" t="s">
        <v>33</v>
      </c>
      <c r="F18" s="22" t="s">
        <v>4</v>
      </c>
      <c r="G18" s="13" t="s">
        <v>0</v>
      </c>
      <c r="H18" s="12" t="s">
        <v>439</v>
      </c>
      <c r="I18" s="11">
        <v>3000</v>
      </c>
      <c r="J18" s="10"/>
      <c r="K18" s="9">
        <v>3000</v>
      </c>
      <c r="L18" s="8">
        <f t="shared" si="0"/>
        <v>0</v>
      </c>
    </row>
    <row r="19" spans="1:12" ht="162" customHeight="1" thickBot="1" x14ac:dyDescent="0.3">
      <c r="A19" s="47"/>
      <c r="B19" s="13" t="s">
        <v>112</v>
      </c>
      <c r="C19" s="12" t="s">
        <v>34</v>
      </c>
      <c r="D19" s="12" t="s">
        <v>24</v>
      </c>
      <c r="E19" s="13" t="s">
        <v>33</v>
      </c>
      <c r="F19" s="22" t="s">
        <v>4</v>
      </c>
      <c r="G19" s="13" t="s">
        <v>0</v>
      </c>
      <c r="H19" s="12" t="s">
        <v>439</v>
      </c>
      <c r="I19" s="11">
        <v>1000</v>
      </c>
      <c r="J19" s="10"/>
      <c r="K19" s="9">
        <v>1000</v>
      </c>
      <c r="L19" s="8">
        <f t="shared" si="0"/>
        <v>0</v>
      </c>
    </row>
    <row r="20" spans="1:12" ht="162" customHeight="1" thickBot="1" x14ac:dyDescent="0.3">
      <c r="A20" s="47"/>
      <c r="B20" s="13" t="s">
        <v>61</v>
      </c>
      <c r="C20" s="12" t="s">
        <v>31</v>
      </c>
      <c r="D20" s="12" t="s">
        <v>24</v>
      </c>
      <c r="E20" s="13" t="s">
        <v>80</v>
      </c>
      <c r="F20" s="22" t="s">
        <v>9</v>
      </c>
      <c r="G20" s="13" t="s">
        <v>0</v>
      </c>
      <c r="H20" s="12" t="s">
        <v>437</v>
      </c>
      <c r="I20" s="11">
        <v>2000</v>
      </c>
      <c r="J20" s="10"/>
      <c r="K20" s="9">
        <v>2000</v>
      </c>
      <c r="L20" s="8">
        <f t="shared" si="0"/>
        <v>0</v>
      </c>
    </row>
    <row r="21" spans="1:12" ht="162" customHeight="1" thickBot="1" x14ac:dyDescent="0.3">
      <c r="A21" s="47"/>
      <c r="B21" s="13" t="s">
        <v>32</v>
      </c>
      <c r="C21" s="12" t="s">
        <v>31</v>
      </c>
      <c r="D21" s="12" t="s">
        <v>24</v>
      </c>
      <c r="E21" s="13" t="s">
        <v>80</v>
      </c>
      <c r="F21" s="22" t="s">
        <v>9</v>
      </c>
      <c r="G21" s="13" t="s">
        <v>0</v>
      </c>
      <c r="H21" s="12" t="s">
        <v>437</v>
      </c>
      <c r="I21" s="11">
        <v>1500</v>
      </c>
      <c r="J21" s="10"/>
      <c r="K21" s="9">
        <v>1500</v>
      </c>
      <c r="L21" s="8">
        <f t="shared" si="0"/>
        <v>0</v>
      </c>
    </row>
    <row r="22" spans="1:12" ht="162" customHeight="1" thickBot="1" x14ac:dyDescent="0.3">
      <c r="A22" s="47"/>
      <c r="B22" s="13" t="s">
        <v>32</v>
      </c>
      <c r="C22" s="12" t="s">
        <v>31</v>
      </c>
      <c r="D22" s="12" t="s">
        <v>24</v>
      </c>
      <c r="E22" s="13" t="s">
        <v>116</v>
      </c>
      <c r="F22" s="22" t="s">
        <v>9</v>
      </c>
      <c r="G22" s="13" t="s">
        <v>0</v>
      </c>
      <c r="H22" s="12" t="s">
        <v>437</v>
      </c>
      <c r="I22" s="11">
        <v>2000</v>
      </c>
      <c r="J22" s="10"/>
      <c r="K22" s="9">
        <v>2000</v>
      </c>
      <c r="L22" s="8">
        <f t="shared" si="0"/>
        <v>0</v>
      </c>
    </row>
    <row r="23" spans="1:12" ht="162" customHeight="1" thickBot="1" x14ac:dyDescent="0.3">
      <c r="A23" s="47"/>
      <c r="B23" s="13" t="s">
        <v>40</v>
      </c>
      <c r="C23" s="12" t="s">
        <v>27</v>
      </c>
      <c r="D23" s="12" t="s">
        <v>24</v>
      </c>
      <c r="E23" s="13" t="s">
        <v>111</v>
      </c>
      <c r="F23" s="22" t="s">
        <v>4</v>
      </c>
      <c r="G23" s="13" t="s">
        <v>0</v>
      </c>
      <c r="H23" s="12" t="s">
        <v>439</v>
      </c>
      <c r="I23" s="11">
        <v>2000</v>
      </c>
      <c r="J23" s="10"/>
      <c r="K23" s="9">
        <v>2000</v>
      </c>
      <c r="L23" s="8">
        <f t="shared" si="0"/>
        <v>0</v>
      </c>
    </row>
    <row r="24" spans="1:12" ht="162" customHeight="1" thickBot="1" x14ac:dyDescent="0.3">
      <c r="A24" s="47"/>
      <c r="B24" s="24" t="s">
        <v>284</v>
      </c>
      <c r="C24" s="12" t="s">
        <v>113</v>
      </c>
      <c r="D24" s="22" t="s">
        <v>24</v>
      </c>
      <c r="E24" s="13" t="s">
        <v>115</v>
      </c>
      <c r="F24" s="22" t="s">
        <v>9</v>
      </c>
      <c r="G24" s="13" t="s">
        <v>0</v>
      </c>
      <c r="H24" s="12" t="s">
        <v>439</v>
      </c>
      <c r="I24" s="11">
        <v>1000</v>
      </c>
      <c r="J24" s="41"/>
      <c r="K24" s="9">
        <v>1000</v>
      </c>
      <c r="L24" s="8">
        <f t="shared" si="0"/>
        <v>0</v>
      </c>
    </row>
    <row r="25" spans="1:12" ht="162" customHeight="1" thickBot="1" x14ac:dyDescent="0.3">
      <c r="A25" s="47"/>
      <c r="B25" s="24" t="s">
        <v>284</v>
      </c>
      <c r="C25" s="12" t="s">
        <v>113</v>
      </c>
      <c r="D25" s="22" t="s">
        <v>24</v>
      </c>
      <c r="E25" s="13" t="s">
        <v>115</v>
      </c>
      <c r="F25" s="22" t="s">
        <v>9</v>
      </c>
      <c r="G25" s="13" t="s">
        <v>0</v>
      </c>
      <c r="H25" s="12" t="s">
        <v>439</v>
      </c>
      <c r="I25" s="11">
        <v>2500</v>
      </c>
      <c r="J25" s="10">
        <v>1000</v>
      </c>
      <c r="K25" s="9">
        <v>1500</v>
      </c>
      <c r="L25" s="8">
        <f t="shared" si="0"/>
        <v>0</v>
      </c>
    </row>
    <row r="26" spans="1:12" ht="162" customHeight="1" thickBot="1" x14ac:dyDescent="0.3">
      <c r="A26" s="47"/>
      <c r="B26" s="24" t="s">
        <v>40</v>
      </c>
      <c r="C26" s="12" t="s">
        <v>15</v>
      </c>
      <c r="D26" s="12" t="s">
        <v>24</v>
      </c>
      <c r="E26" s="13" t="s">
        <v>96</v>
      </c>
      <c r="F26" s="22" t="s">
        <v>4</v>
      </c>
      <c r="G26" s="13" t="s">
        <v>0</v>
      </c>
      <c r="H26" s="12" t="s">
        <v>439</v>
      </c>
      <c r="I26" s="11">
        <v>2500</v>
      </c>
      <c r="J26" s="10">
        <v>1000</v>
      </c>
      <c r="K26" s="9">
        <v>1500</v>
      </c>
      <c r="L26" s="8">
        <f t="shared" si="0"/>
        <v>0</v>
      </c>
    </row>
    <row r="27" spans="1:12" ht="162" customHeight="1" thickBot="1" x14ac:dyDescent="0.3">
      <c r="A27" s="47"/>
      <c r="B27" s="24" t="s">
        <v>40</v>
      </c>
      <c r="C27" s="12" t="s">
        <v>15</v>
      </c>
      <c r="D27" s="12" t="s">
        <v>24</v>
      </c>
      <c r="E27" s="13" t="s">
        <v>96</v>
      </c>
      <c r="F27" s="22" t="s">
        <v>4</v>
      </c>
      <c r="G27" s="13" t="s">
        <v>0</v>
      </c>
      <c r="H27" s="12" t="s">
        <v>439</v>
      </c>
      <c r="I27" s="11">
        <v>2000</v>
      </c>
      <c r="J27" s="10"/>
      <c r="K27" s="9">
        <v>2000</v>
      </c>
      <c r="L27" s="8">
        <f t="shared" si="0"/>
        <v>0</v>
      </c>
    </row>
    <row r="28" spans="1:12" ht="162" customHeight="1" thickBot="1" x14ac:dyDescent="0.3">
      <c r="A28" s="47"/>
      <c r="B28" s="24" t="s">
        <v>95</v>
      </c>
      <c r="C28" s="12" t="s">
        <v>15</v>
      </c>
      <c r="D28" s="12" t="s">
        <v>24</v>
      </c>
      <c r="E28" s="13" t="s">
        <v>362</v>
      </c>
      <c r="F28" s="22" t="s">
        <v>4</v>
      </c>
      <c r="G28" s="13" t="s">
        <v>0</v>
      </c>
      <c r="H28" s="12" t="s">
        <v>439</v>
      </c>
      <c r="I28" s="11">
        <v>2500</v>
      </c>
      <c r="J28" s="10"/>
      <c r="K28" s="9">
        <v>2500</v>
      </c>
      <c r="L28" s="8">
        <f t="shared" si="0"/>
        <v>0</v>
      </c>
    </row>
    <row r="29" spans="1:12" ht="162" customHeight="1" thickBot="1" x14ac:dyDescent="0.3">
      <c r="A29" s="47"/>
      <c r="B29" s="24" t="s">
        <v>38</v>
      </c>
      <c r="C29" s="12" t="s">
        <v>27</v>
      </c>
      <c r="D29" s="12" t="s">
        <v>24</v>
      </c>
      <c r="E29" s="13" t="s">
        <v>111</v>
      </c>
      <c r="F29" s="22" t="s">
        <v>4</v>
      </c>
      <c r="G29" s="13" t="s">
        <v>0</v>
      </c>
      <c r="H29" s="12" t="s">
        <v>439</v>
      </c>
      <c r="I29" s="11">
        <v>3000</v>
      </c>
      <c r="J29" s="10"/>
      <c r="K29" s="9">
        <v>3000</v>
      </c>
      <c r="L29" s="8">
        <f t="shared" si="0"/>
        <v>0</v>
      </c>
    </row>
    <row r="30" spans="1:12" ht="162" customHeight="1" thickBot="1" x14ac:dyDescent="0.3">
      <c r="A30" s="48"/>
      <c r="B30" s="24" t="s">
        <v>77</v>
      </c>
      <c r="C30" s="12" t="s">
        <v>27</v>
      </c>
      <c r="D30" s="12" t="s">
        <v>24</v>
      </c>
      <c r="E30" s="13" t="s">
        <v>197</v>
      </c>
      <c r="F30" s="22" t="s">
        <v>380</v>
      </c>
      <c r="G30" s="13" t="s">
        <v>0</v>
      </c>
      <c r="H30" s="12" t="s">
        <v>439</v>
      </c>
      <c r="I30" s="11">
        <v>3000</v>
      </c>
      <c r="J30" s="10">
        <v>1000</v>
      </c>
      <c r="K30" s="9">
        <v>2000</v>
      </c>
      <c r="L30" s="8">
        <f t="shared" si="0"/>
        <v>0</v>
      </c>
    </row>
    <row r="31" spans="1:12" ht="162" customHeight="1" thickBot="1" x14ac:dyDescent="0.3">
      <c r="A31" s="46" t="s">
        <v>23</v>
      </c>
      <c r="B31" s="24" t="s">
        <v>223</v>
      </c>
      <c r="C31" s="12" t="s">
        <v>17</v>
      </c>
      <c r="D31" s="12" t="s">
        <v>311</v>
      </c>
      <c r="E31" s="13" t="s">
        <v>312</v>
      </c>
      <c r="F31" s="22" t="s">
        <v>122</v>
      </c>
      <c r="G31" s="13" t="s">
        <v>0</v>
      </c>
      <c r="H31" s="12" t="s">
        <v>437</v>
      </c>
      <c r="I31" s="11">
        <v>3000</v>
      </c>
      <c r="J31" s="10"/>
      <c r="K31" s="9">
        <v>3000</v>
      </c>
      <c r="L31" s="8">
        <f t="shared" si="0"/>
        <v>0</v>
      </c>
    </row>
    <row r="32" spans="1:12" ht="162" customHeight="1" thickBot="1" x14ac:dyDescent="0.3">
      <c r="A32" s="47"/>
      <c r="B32" s="24" t="s">
        <v>223</v>
      </c>
      <c r="C32" s="12" t="s">
        <v>17</v>
      </c>
      <c r="D32" s="12" t="s">
        <v>311</v>
      </c>
      <c r="E32" s="13" t="s">
        <v>312</v>
      </c>
      <c r="F32" s="22" t="s">
        <v>122</v>
      </c>
      <c r="G32" s="13" t="s">
        <v>0</v>
      </c>
      <c r="H32" s="12" t="s">
        <v>437</v>
      </c>
      <c r="I32" s="11">
        <v>2000</v>
      </c>
      <c r="J32" s="10"/>
      <c r="K32" s="9">
        <v>2000</v>
      </c>
      <c r="L32" s="8">
        <f t="shared" si="0"/>
        <v>0</v>
      </c>
    </row>
    <row r="33" spans="1:12" ht="162" customHeight="1" thickBot="1" x14ac:dyDescent="0.3">
      <c r="A33" s="47"/>
      <c r="B33" s="24" t="s">
        <v>12</v>
      </c>
      <c r="C33" s="12" t="s">
        <v>6</v>
      </c>
      <c r="D33" s="12" t="s">
        <v>20</v>
      </c>
      <c r="E33" s="13" t="s">
        <v>22</v>
      </c>
      <c r="F33" s="22" t="s">
        <v>4</v>
      </c>
      <c r="G33" s="13" t="s">
        <v>0</v>
      </c>
      <c r="H33" s="12" t="s">
        <v>439</v>
      </c>
      <c r="I33" s="11">
        <v>6000</v>
      </c>
      <c r="J33" s="10">
        <v>1000</v>
      </c>
      <c r="K33" s="9">
        <v>5000</v>
      </c>
      <c r="L33" s="8">
        <f t="shared" si="0"/>
        <v>0</v>
      </c>
    </row>
    <row r="34" spans="1:12" ht="162" customHeight="1" thickBot="1" x14ac:dyDescent="0.3">
      <c r="A34" s="48"/>
      <c r="B34" s="24" t="s">
        <v>12</v>
      </c>
      <c r="C34" s="12" t="s">
        <v>6</v>
      </c>
      <c r="D34" s="12" t="s">
        <v>20</v>
      </c>
      <c r="E34" s="13" t="s">
        <v>22</v>
      </c>
      <c r="F34" s="22" t="s">
        <v>4</v>
      </c>
      <c r="G34" s="13" t="s">
        <v>0</v>
      </c>
      <c r="H34" s="12" t="s">
        <v>439</v>
      </c>
      <c r="I34" s="11">
        <v>2000</v>
      </c>
      <c r="J34" s="10"/>
      <c r="K34" s="9">
        <v>2000</v>
      </c>
      <c r="L34" s="8">
        <f t="shared" si="0"/>
        <v>0</v>
      </c>
    </row>
    <row r="35" spans="1:12" ht="162" customHeight="1" thickBot="1" x14ac:dyDescent="0.3">
      <c r="A35" s="46" t="s">
        <v>54</v>
      </c>
      <c r="B35" s="24" t="s">
        <v>172</v>
      </c>
      <c r="C35" s="12" t="s">
        <v>173</v>
      </c>
      <c r="D35" s="12" t="s">
        <v>174</v>
      </c>
      <c r="E35" s="13" t="s">
        <v>175</v>
      </c>
      <c r="F35" s="22" t="s">
        <v>4</v>
      </c>
      <c r="G35" s="13" t="s">
        <v>0</v>
      </c>
      <c r="H35" s="12" t="s">
        <v>439</v>
      </c>
      <c r="I35" s="11">
        <v>310</v>
      </c>
      <c r="J35" s="10"/>
      <c r="K35" s="9">
        <v>310</v>
      </c>
      <c r="L35" s="8">
        <f t="shared" si="0"/>
        <v>0</v>
      </c>
    </row>
    <row r="36" spans="1:12" ht="162" customHeight="1" thickBot="1" x14ac:dyDescent="0.3">
      <c r="A36" s="47"/>
      <c r="B36" s="24" t="s">
        <v>172</v>
      </c>
      <c r="C36" s="12" t="s">
        <v>173</v>
      </c>
      <c r="D36" s="12" t="s">
        <v>174</v>
      </c>
      <c r="E36" s="13" t="s">
        <v>176</v>
      </c>
      <c r="F36" s="22" t="s">
        <v>4</v>
      </c>
      <c r="G36" s="13" t="s">
        <v>0</v>
      </c>
      <c r="H36" s="12" t="s">
        <v>439</v>
      </c>
      <c r="I36" s="11">
        <v>1000</v>
      </c>
      <c r="J36" s="10">
        <v>500</v>
      </c>
      <c r="K36" s="9">
        <v>500</v>
      </c>
      <c r="L36" s="8">
        <f t="shared" si="0"/>
        <v>0</v>
      </c>
    </row>
    <row r="37" spans="1:12" ht="162" customHeight="1" thickBot="1" x14ac:dyDescent="0.3">
      <c r="A37" s="47"/>
      <c r="B37" s="24" t="s">
        <v>223</v>
      </c>
      <c r="C37" s="12" t="s">
        <v>224</v>
      </c>
      <c r="D37" s="12" t="s">
        <v>60</v>
      </c>
      <c r="E37" s="13" t="s">
        <v>298</v>
      </c>
      <c r="F37" s="22" t="s">
        <v>4</v>
      </c>
      <c r="G37" s="13" t="s">
        <v>37</v>
      </c>
      <c r="H37" s="12" t="s">
        <v>437</v>
      </c>
      <c r="I37" s="11">
        <v>487</v>
      </c>
      <c r="J37" s="10"/>
      <c r="K37" s="9">
        <v>487</v>
      </c>
      <c r="L37" s="8">
        <f t="shared" si="0"/>
        <v>0</v>
      </c>
    </row>
    <row r="38" spans="1:12" ht="162" customHeight="1" thickBot="1" x14ac:dyDescent="0.3">
      <c r="A38" s="47"/>
      <c r="B38" s="24" t="s">
        <v>104</v>
      </c>
      <c r="C38" s="12" t="s">
        <v>105</v>
      </c>
      <c r="D38" s="12" t="s">
        <v>60</v>
      </c>
      <c r="E38" s="13" t="s">
        <v>443</v>
      </c>
      <c r="F38" s="22" t="s">
        <v>64</v>
      </c>
      <c r="G38" s="13" t="s">
        <v>37</v>
      </c>
      <c r="H38" s="12" t="s">
        <v>437</v>
      </c>
      <c r="I38" s="11">
        <v>50</v>
      </c>
      <c r="J38" s="10"/>
      <c r="K38" s="9">
        <v>50</v>
      </c>
      <c r="L38" s="8">
        <f t="shared" si="0"/>
        <v>0</v>
      </c>
    </row>
    <row r="39" spans="1:12" ht="162" customHeight="1" thickBot="1" x14ac:dyDescent="0.3">
      <c r="A39" s="47"/>
      <c r="B39" s="24" t="s">
        <v>104</v>
      </c>
      <c r="C39" s="12" t="s">
        <v>118</v>
      </c>
      <c r="D39" s="12" t="s">
        <v>60</v>
      </c>
      <c r="E39" s="13" t="s">
        <v>262</v>
      </c>
      <c r="F39" s="22" t="s">
        <v>64</v>
      </c>
      <c r="G39" s="13" t="s">
        <v>37</v>
      </c>
      <c r="H39" s="12" t="s">
        <v>437</v>
      </c>
      <c r="I39" s="11">
        <v>43</v>
      </c>
      <c r="J39" s="10"/>
      <c r="K39" s="9">
        <v>43</v>
      </c>
      <c r="L39" s="8">
        <f t="shared" si="0"/>
        <v>0</v>
      </c>
    </row>
    <row r="40" spans="1:12" ht="162" customHeight="1" thickBot="1" x14ac:dyDescent="0.3">
      <c r="A40" s="48"/>
      <c r="B40" s="24" t="s">
        <v>104</v>
      </c>
      <c r="C40" s="12" t="s">
        <v>457</v>
      </c>
      <c r="D40" s="12" t="s">
        <v>60</v>
      </c>
      <c r="E40" s="13" t="s">
        <v>263</v>
      </c>
      <c r="F40" s="22" t="s">
        <v>64</v>
      </c>
      <c r="G40" s="13" t="s">
        <v>37</v>
      </c>
      <c r="H40" s="12" t="s">
        <v>437</v>
      </c>
      <c r="I40" s="11">
        <v>43</v>
      </c>
      <c r="J40" s="10"/>
      <c r="K40" s="9">
        <v>43</v>
      </c>
      <c r="L40" s="8">
        <f t="shared" si="0"/>
        <v>0</v>
      </c>
    </row>
    <row r="41" spans="1:12" ht="162" customHeight="1" thickBot="1" x14ac:dyDescent="0.3">
      <c r="A41" s="46" t="s">
        <v>19</v>
      </c>
      <c r="B41" s="24" t="s">
        <v>18</v>
      </c>
      <c r="C41" s="12" t="s">
        <v>17</v>
      </c>
      <c r="D41" s="12" t="s">
        <v>14</v>
      </c>
      <c r="E41" s="13" t="s">
        <v>16</v>
      </c>
      <c r="F41" s="22" t="s">
        <v>380</v>
      </c>
      <c r="G41" s="13" t="s">
        <v>0</v>
      </c>
      <c r="H41" s="12" t="s">
        <v>439</v>
      </c>
      <c r="I41" s="11">
        <v>2000</v>
      </c>
      <c r="J41" s="10">
        <v>1000</v>
      </c>
      <c r="K41" s="9">
        <v>1000</v>
      </c>
      <c r="L41" s="8">
        <f t="shared" si="0"/>
        <v>0</v>
      </c>
    </row>
    <row r="42" spans="1:12" ht="162" customHeight="1" thickBot="1" x14ac:dyDescent="0.3">
      <c r="A42" s="47"/>
      <c r="B42" s="24" t="s">
        <v>7</v>
      </c>
      <c r="C42" s="12" t="s">
        <v>15</v>
      </c>
      <c r="D42" s="12" t="s">
        <v>14</v>
      </c>
      <c r="E42" s="13" t="s">
        <v>65</v>
      </c>
      <c r="F42" s="22" t="s">
        <v>4</v>
      </c>
      <c r="G42" s="13" t="s">
        <v>0</v>
      </c>
      <c r="H42" s="12" t="s">
        <v>439</v>
      </c>
      <c r="I42" s="11">
        <v>3000</v>
      </c>
      <c r="J42" s="10">
        <v>1000</v>
      </c>
      <c r="K42" s="9">
        <v>2000</v>
      </c>
      <c r="L42" s="8">
        <f t="shared" si="0"/>
        <v>0</v>
      </c>
    </row>
    <row r="43" spans="1:12" ht="162" customHeight="1" thickBot="1" x14ac:dyDescent="0.3">
      <c r="A43" s="47"/>
      <c r="B43" s="24" t="s">
        <v>7</v>
      </c>
      <c r="C43" s="12" t="s">
        <v>15</v>
      </c>
      <c r="D43" s="12" t="s">
        <v>14</v>
      </c>
      <c r="E43" s="13" t="s">
        <v>58</v>
      </c>
      <c r="F43" s="22" t="s">
        <v>4</v>
      </c>
      <c r="G43" s="13" t="s">
        <v>0</v>
      </c>
      <c r="H43" s="12" t="s">
        <v>439</v>
      </c>
      <c r="I43" s="11">
        <v>600</v>
      </c>
      <c r="J43" s="10"/>
      <c r="K43" s="9">
        <v>600</v>
      </c>
      <c r="L43" s="8">
        <f t="shared" si="0"/>
        <v>0</v>
      </c>
    </row>
    <row r="44" spans="1:12" ht="162" customHeight="1" thickBot="1" x14ac:dyDescent="0.3">
      <c r="A44" s="47"/>
      <c r="B44" s="24" t="s">
        <v>7</v>
      </c>
      <c r="C44" s="12" t="s">
        <v>15</v>
      </c>
      <c r="D44" s="12" t="s">
        <v>14</v>
      </c>
      <c r="E44" s="13" t="s">
        <v>13</v>
      </c>
      <c r="F44" s="22" t="s">
        <v>4</v>
      </c>
      <c r="G44" s="13" t="s">
        <v>0</v>
      </c>
      <c r="H44" s="12" t="s">
        <v>439</v>
      </c>
      <c r="I44" s="11">
        <v>2500</v>
      </c>
      <c r="J44" s="10"/>
      <c r="K44" s="9">
        <v>2500</v>
      </c>
      <c r="L44" s="8">
        <f t="shared" si="0"/>
        <v>0</v>
      </c>
    </row>
    <row r="45" spans="1:12" ht="162" customHeight="1" thickBot="1" x14ac:dyDescent="0.3">
      <c r="A45" s="47"/>
      <c r="B45" s="24" t="s">
        <v>12</v>
      </c>
      <c r="C45" s="12" t="s">
        <v>3</v>
      </c>
      <c r="D45" s="12" t="s">
        <v>11</v>
      </c>
      <c r="E45" s="13" t="s">
        <v>10</v>
      </c>
      <c r="F45" s="22" t="s">
        <v>4</v>
      </c>
      <c r="G45" s="13" t="s">
        <v>0</v>
      </c>
      <c r="H45" s="12" t="s">
        <v>439</v>
      </c>
      <c r="I45" s="11">
        <v>1490</v>
      </c>
      <c r="J45" s="10">
        <v>500</v>
      </c>
      <c r="K45" s="9">
        <v>990</v>
      </c>
      <c r="L45" s="8">
        <f t="shared" si="0"/>
        <v>0</v>
      </c>
    </row>
    <row r="46" spans="1:12" ht="162" customHeight="1" thickBot="1" x14ac:dyDescent="0.3">
      <c r="A46" s="47"/>
      <c r="B46" s="24" t="s">
        <v>7</v>
      </c>
      <c r="C46" s="12" t="s">
        <v>6</v>
      </c>
      <c r="D46" s="12" t="s">
        <v>1</v>
      </c>
      <c r="E46" s="13" t="s">
        <v>5</v>
      </c>
      <c r="F46" s="22" t="s">
        <v>4</v>
      </c>
      <c r="G46" s="13" t="s">
        <v>0</v>
      </c>
      <c r="H46" s="12" t="s">
        <v>439</v>
      </c>
      <c r="I46" s="11">
        <v>6000</v>
      </c>
      <c r="J46" s="10">
        <v>1000</v>
      </c>
      <c r="K46" s="9">
        <v>5000</v>
      </c>
      <c r="L46" s="8">
        <f t="shared" si="0"/>
        <v>0</v>
      </c>
    </row>
    <row r="47" spans="1:12" ht="162" customHeight="1" thickBot="1" x14ac:dyDescent="0.3">
      <c r="A47" s="47"/>
      <c r="B47" s="24" t="s">
        <v>7</v>
      </c>
      <c r="C47" s="12" t="s">
        <v>6</v>
      </c>
      <c r="D47" s="12" t="s">
        <v>1</v>
      </c>
      <c r="E47" s="13" t="s">
        <v>5</v>
      </c>
      <c r="F47" s="22" t="s">
        <v>4</v>
      </c>
      <c r="G47" s="13" t="s">
        <v>0</v>
      </c>
      <c r="H47" s="12" t="s">
        <v>439</v>
      </c>
      <c r="I47" s="11">
        <v>5000</v>
      </c>
      <c r="J47" s="10"/>
      <c r="K47" s="9">
        <v>5000</v>
      </c>
      <c r="L47" s="8">
        <f t="shared" si="0"/>
        <v>0</v>
      </c>
    </row>
    <row r="48" spans="1:12" ht="162" customHeight="1" thickBot="1" x14ac:dyDescent="0.3">
      <c r="A48" s="48"/>
      <c r="B48" s="24" t="s">
        <v>194</v>
      </c>
      <c r="C48" s="12" t="s">
        <v>3</v>
      </c>
      <c r="D48" s="12" t="s">
        <v>1</v>
      </c>
      <c r="E48" s="13" t="s">
        <v>195</v>
      </c>
      <c r="F48" s="22" t="s">
        <v>122</v>
      </c>
      <c r="G48" s="13" t="s">
        <v>0</v>
      </c>
      <c r="H48" s="12" t="s">
        <v>437</v>
      </c>
      <c r="I48" s="11">
        <v>5000</v>
      </c>
      <c r="J48" s="10"/>
      <c r="K48" s="9">
        <v>5000</v>
      </c>
      <c r="L48" s="8">
        <f t="shared" si="0"/>
        <v>0</v>
      </c>
    </row>
  </sheetData>
  <autoFilter ref="A2:L31"/>
  <dataConsolidate/>
  <mergeCells count="6">
    <mergeCell ref="A35:A40"/>
    <mergeCell ref="A41:A48"/>
    <mergeCell ref="A1:L1"/>
    <mergeCell ref="A3:A16"/>
    <mergeCell ref="A17:A30"/>
    <mergeCell ref="A31:A34"/>
  </mergeCells>
  <conditionalFormatting sqref="K3:L48 I2:I48">
    <cfRule type="cellIs" dxfId="23" priority="3" operator="lessThan">
      <formula>0</formula>
    </cfRule>
  </conditionalFormatting>
  <conditionalFormatting sqref="L2">
    <cfRule type="cellIs" dxfId="22" priority="2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54"/>
  <sheetViews>
    <sheetView showGridLines="0" view="pageBreakPreview" zoomScale="20" zoomScaleNormal="15" zoomScaleSheetLayoutView="20" workbookViewId="0">
      <selection activeCell="K5" sqref="K5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456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325</v>
      </c>
      <c r="C3" s="12" t="s">
        <v>34</v>
      </c>
      <c r="D3" s="12" t="s">
        <v>24</v>
      </c>
      <c r="E3" s="13" t="s">
        <v>33</v>
      </c>
      <c r="F3" s="22" t="s">
        <v>4</v>
      </c>
      <c r="G3" s="13" t="s">
        <v>0</v>
      </c>
      <c r="H3" s="12" t="s">
        <v>439</v>
      </c>
      <c r="I3" s="11">
        <v>5366</v>
      </c>
      <c r="J3" s="10">
        <v>1000</v>
      </c>
      <c r="K3" s="9">
        <f>3000+1366</f>
        <v>4366</v>
      </c>
      <c r="L3" s="8">
        <f t="shared" ref="L3:L54" si="0">K3+J3-I3</f>
        <v>0</v>
      </c>
    </row>
    <row r="4" spans="1:12" ht="162" customHeight="1" thickBot="1" x14ac:dyDescent="0.3">
      <c r="A4" s="47"/>
      <c r="B4" s="13" t="s">
        <v>95</v>
      </c>
      <c r="C4" s="12" t="s">
        <v>15</v>
      </c>
      <c r="D4" s="12" t="s">
        <v>24</v>
      </c>
      <c r="E4" s="13" t="s">
        <v>362</v>
      </c>
      <c r="F4" s="22" t="s">
        <v>4</v>
      </c>
      <c r="G4" s="13" t="s">
        <v>0</v>
      </c>
      <c r="H4" s="12" t="s">
        <v>439</v>
      </c>
      <c r="I4" s="11">
        <v>2400</v>
      </c>
      <c r="J4" s="10"/>
      <c r="K4" s="9">
        <v>2400</v>
      </c>
      <c r="L4" s="8">
        <f t="shared" si="0"/>
        <v>0</v>
      </c>
    </row>
    <row r="5" spans="1:12" ht="162" customHeight="1" thickBot="1" x14ac:dyDescent="0.3">
      <c r="A5" s="47"/>
      <c r="B5" s="13" t="s">
        <v>95</v>
      </c>
      <c r="C5" s="12" t="s">
        <v>15</v>
      </c>
      <c r="D5" s="12" t="s">
        <v>24</v>
      </c>
      <c r="E5" s="13" t="s">
        <v>96</v>
      </c>
      <c r="F5" s="22" t="s">
        <v>4</v>
      </c>
      <c r="G5" s="13" t="s">
        <v>0</v>
      </c>
      <c r="H5" s="12" t="s">
        <v>439</v>
      </c>
      <c r="I5" s="11">
        <v>2768</v>
      </c>
      <c r="J5" s="10">
        <v>1000</v>
      </c>
      <c r="K5" s="9">
        <v>1768</v>
      </c>
      <c r="L5" s="8">
        <f t="shared" si="0"/>
        <v>0</v>
      </c>
    </row>
    <row r="6" spans="1:12" ht="162" customHeight="1" thickBot="1" x14ac:dyDescent="0.3">
      <c r="A6" s="47"/>
      <c r="B6" s="13" t="s">
        <v>38</v>
      </c>
      <c r="C6" s="12" t="s">
        <v>27</v>
      </c>
      <c r="D6" s="12" t="s">
        <v>24</v>
      </c>
      <c r="E6" s="13" t="s">
        <v>55</v>
      </c>
      <c r="F6" s="22" t="s">
        <v>9</v>
      </c>
      <c r="G6" s="13" t="s">
        <v>0</v>
      </c>
      <c r="H6" s="12" t="s">
        <v>437</v>
      </c>
      <c r="I6" s="11">
        <v>2000</v>
      </c>
      <c r="J6" s="10">
        <v>1000</v>
      </c>
      <c r="K6" s="9">
        <v>1000</v>
      </c>
      <c r="L6" s="8">
        <f t="shared" si="0"/>
        <v>0</v>
      </c>
    </row>
    <row r="7" spans="1:12" ht="162" customHeight="1" thickBot="1" x14ac:dyDescent="0.3">
      <c r="A7" s="47"/>
      <c r="B7" s="13" t="s">
        <v>38</v>
      </c>
      <c r="C7" s="12" t="s">
        <v>27</v>
      </c>
      <c r="D7" s="12" t="s">
        <v>24</v>
      </c>
      <c r="E7" s="13" t="s">
        <v>111</v>
      </c>
      <c r="F7" s="22" t="s">
        <v>4</v>
      </c>
      <c r="G7" s="13" t="s">
        <v>8</v>
      </c>
      <c r="H7" s="12" t="s">
        <v>439</v>
      </c>
      <c r="I7" s="11">
        <v>40</v>
      </c>
      <c r="J7" s="10"/>
      <c r="K7" s="9">
        <v>40</v>
      </c>
      <c r="L7" s="8">
        <f t="shared" si="0"/>
        <v>0</v>
      </c>
    </row>
    <row r="8" spans="1:12" ht="162" customHeight="1" thickBot="1" x14ac:dyDescent="0.3">
      <c r="A8" s="47"/>
      <c r="B8" s="13" t="s">
        <v>38</v>
      </c>
      <c r="C8" s="12" t="s">
        <v>27</v>
      </c>
      <c r="D8" s="12" t="s">
        <v>24</v>
      </c>
      <c r="E8" s="13" t="s">
        <v>111</v>
      </c>
      <c r="F8" s="22" t="s">
        <v>4</v>
      </c>
      <c r="G8" s="13" t="s">
        <v>0</v>
      </c>
      <c r="H8" s="12" t="s">
        <v>439</v>
      </c>
      <c r="I8" s="11">
        <v>2136</v>
      </c>
      <c r="J8" s="10">
        <v>1000</v>
      </c>
      <c r="K8" s="9">
        <v>1136</v>
      </c>
      <c r="L8" s="8">
        <f t="shared" si="0"/>
        <v>0</v>
      </c>
    </row>
    <row r="9" spans="1:12" ht="162" customHeight="1" thickBot="1" x14ac:dyDescent="0.3">
      <c r="A9" s="47"/>
      <c r="B9" s="13" t="s">
        <v>38</v>
      </c>
      <c r="C9" s="12" t="s">
        <v>27</v>
      </c>
      <c r="D9" s="12" t="s">
        <v>24</v>
      </c>
      <c r="E9" s="13" t="s">
        <v>197</v>
      </c>
      <c r="F9" s="22" t="s">
        <v>4</v>
      </c>
      <c r="G9" s="13" t="s">
        <v>0</v>
      </c>
      <c r="H9" s="12" t="s">
        <v>439</v>
      </c>
      <c r="I9" s="11">
        <v>1510</v>
      </c>
      <c r="J9" s="10"/>
      <c r="K9" s="9">
        <v>1510</v>
      </c>
      <c r="L9" s="8">
        <f t="shared" si="0"/>
        <v>0</v>
      </c>
    </row>
    <row r="10" spans="1:12" ht="162" customHeight="1" thickBot="1" x14ac:dyDescent="0.3">
      <c r="A10" s="47"/>
      <c r="B10" s="13" t="s">
        <v>371</v>
      </c>
      <c r="C10" s="12" t="s">
        <v>113</v>
      </c>
      <c r="D10" s="12" t="s">
        <v>24</v>
      </c>
      <c r="E10" s="13" t="s">
        <v>115</v>
      </c>
      <c r="F10" s="22" t="s">
        <v>9</v>
      </c>
      <c r="G10" s="13" t="s">
        <v>0</v>
      </c>
      <c r="H10" s="12" t="s">
        <v>437</v>
      </c>
      <c r="I10" s="11">
        <v>1394</v>
      </c>
      <c r="J10" s="10">
        <v>500</v>
      </c>
      <c r="K10" s="9">
        <v>894</v>
      </c>
      <c r="L10" s="8">
        <f t="shared" si="0"/>
        <v>0</v>
      </c>
    </row>
    <row r="11" spans="1:12" ht="162" customHeight="1" thickBot="1" x14ac:dyDescent="0.3">
      <c r="A11" s="48"/>
      <c r="B11" s="13" t="s">
        <v>32</v>
      </c>
      <c r="C11" s="12" t="s">
        <v>31</v>
      </c>
      <c r="D11" s="12" t="s">
        <v>24</v>
      </c>
      <c r="E11" s="13" t="s">
        <v>297</v>
      </c>
      <c r="F11" s="22" t="s">
        <v>9</v>
      </c>
      <c r="G11" s="13" t="s">
        <v>0</v>
      </c>
      <c r="H11" s="12" t="s">
        <v>437</v>
      </c>
      <c r="I11" s="11">
        <v>1000</v>
      </c>
      <c r="J11" s="10">
        <v>500</v>
      </c>
      <c r="K11" s="9">
        <v>500</v>
      </c>
      <c r="L11" s="8">
        <f t="shared" si="0"/>
        <v>0</v>
      </c>
    </row>
    <row r="12" spans="1:12" ht="162" customHeight="1" thickBot="1" x14ac:dyDescent="0.3">
      <c r="A12" s="46" t="s">
        <v>36</v>
      </c>
      <c r="B12" s="13" t="s">
        <v>28</v>
      </c>
      <c r="C12" s="12" t="s">
        <v>34</v>
      </c>
      <c r="D12" s="12" t="s">
        <v>24</v>
      </c>
      <c r="E12" s="13" t="s">
        <v>33</v>
      </c>
      <c r="F12" s="22" t="s">
        <v>4</v>
      </c>
      <c r="G12" s="13" t="s">
        <v>8</v>
      </c>
      <c r="H12" s="12" t="s">
        <v>439</v>
      </c>
      <c r="I12" s="11">
        <v>200</v>
      </c>
      <c r="J12" s="10"/>
      <c r="K12" s="9">
        <v>200</v>
      </c>
      <c r="L12" s="8">
        <f t="shared" si="0"/>
        <v>0</v>
      </c>
    </row>
    <row r="13" spans="1:12" ht="162" customHeight="1" thickBot="1" x14ac:dyDescent="0.3">
      <c r="A13" s="47"/>
      <c r="B13" s="13" t="s">
        <v>28</v>
      </c>
      <c r="C13" s="12" t="s">
        <v>34</v>
      </c>
      <c r="D13" s="12" t="s">
        <v>24</v>
      </c>
      <c r="E13" s="13" t="s">
        <v>33</v>
      </c>
      <c r="F13" s="22" t="s">
        <v>4</v>
      </c>
      <c r="G13" s="13" t="s">
        <v>0</v>
      </c>
      <c r="H13" s="12" t="s">
        <v>439</v>
      </c>
      <c r="I13" s="11">
        <v>2500</v>
      </c>
      <c r="J13" s="10">
        <v>1000</v>
      </c>
      <c r="K13" s="9">
        <v>1500</v>
      </c>
      <c r="L13" s="8">
        <f t="shared" si="0"/>
        <v>0</v>
      </c>
    </row>
    <row r="14" spans="1:12" ht="162" customHeight="1" thickBot="1" x14ac:dyDescent="0.3">
      <c r="A14" s="47"/>
      <c r="B14" s="13" t="s">
        <v>28</v>
      </c>
      <c r="C14" s="12" t="s">
        <v>34</v>
      </c>
      <c r="D14" s="12" t="s">
        <v>24</v>
      </c>
      <c r="E14" s="13" t="s">
        <v>33</v>
      </c>
      <c r="F14" s="22" t="s">
        <v>4</v>
      </c>
      <c r="G14" s="13" t="s">
        <v>0</v>
      </c>
      <c r="H14" s="12" t="s">
        <v>439</v>
      </c>
      <c r="I14" s="11">
        <v>2500</v>
      </c>
      <c r="J14" s="10"/>
      <c r="K14" s="9">
        <v>2500</v>
      </c>
      <c r="L14" s="8">
        <f t="shared" si="0"/>
        <v>0</v>
      </c>
    </row>
    <row r="15" spans="1:12" ht="162" customHeight="1" thickBot="1" x14ac:dyDescent="0.3">
      <c r="A15" s="47"/>
      <c r="B15" s="13" t="s">
        <v>32</v>
      </c>
      <c r="C15" s="12" t="s">
        <v>31</v>
      </c>
      <c r="D15" s="12" t="s">
        <v>24</v>
      </c>
      <c r="E15" s="13" t="s">
        <v>297</v>
      </c>
      <c r="F15" s="22" t="s">
        <v>9</v>
      </c>
      <c r="G15" s="13" t="s">
        <v>0</v>
      </c>
      <c r="H15" s="12" t="s">
        <v>437</v>
      </c>
      <c r="I15" s="11">
        <v>1000</v>
      </c>
      <c r="J15" s="10">
        <v>500</v>
      </c>
      <c r="K15" s="9">
        <v>500</v>
      </c>
      <c r="L15" s="8">
        <f t="shared" si="0"/>
        <v>0</v>
      </c>
    </row>
    <row r="16" spans="1:12" ht="162" customHeight="1" thickBot="1" x14ac:dyDescent="0.3">
      <c r="A16" s="47"/>
      <c r="B16" s="13" t="s">
        <v>284</v>
      </c>
      <c r="C16" s="12" t="s">
        <v>113</v>
      </c>
      <c r="D16" s="12" t="s">
        <v>24</v>
      </c>
      <c r="E16" s="13" t="s">
        <v>115</v>
      </c>
      <c r="F16" s="22" t="s">
        <v>9</v>
      </c>
      <c r="G16" s="13" t="s">
        <v>0</v>
      </c>
      <c r="H16" s="12" t="s">
        <v>437</v>
      </c>
      <c r="I16" s="11">
        <v>2394</v>
      </c>
      <c r="J16" s="10">
        <v>1000</v>
      </c>
      <c r="K16" s="9">
        <v>1394</v>
      </c>
      <c r="L16" s="8">
        <f t="shared" si="0"/>
        <v>0</v>
      </c>
    </row>
    <row r="17" spans="1:12" ht="162" customHeight="1" thickBot="1" x14ac:dyDescent="0.3">
      <c r="A17" s="47"/>
      <c r="B17" s="13" t="s">
        <v>95</v>
      </c>
      <c r="C17" s="12" t="s">
        <v>15</v>
      </c>
      <c r="D17" s="12" t="s">
        <v>24</v>
      </c>
      <c r="E17" s="13" t="s">
        <v>362</v>
      </c>
      <c r="F17" s="22" t="s">
        <v>4</v>
      </c>
      <c r="G17" s="13" t="s">
        <v>0</v>
      </c>
      <c r="H17" s="12" t="s">
        <v>439</v>
      </c>
      <c r="I17" s="11">
        <v>2400</v>
      </c>
      <c r="J17" s="10">
        <v>1000</v>
      </c>
      <c r="K17" s="9">
        <v>1400</v>
      </c>
      <c r="L17" s="8">
        <f t="shared" si="0"/>
        <v>0</v>
      </c>
    </row>
    <row r="18" spans="1:12" ht="162" customHeight="1" thickBot="1" x14ac:dyDescent="0.3">
      <c r="A18" s="47"/>
      <c r="B18" s="13" t="s">
        <v>95</v>
      </c>
      <c r="C18" s="12" t="s">
        <v>15</v>
      </c>
      <c r="D18" s="12" t="s">
        <v>24</v>
      </c>
      <c r="E18" s="13" t="s">
        <v>96</v>
      </c>
      <c r="F18" s="22" t="s">
        <v>4</v>
      </c>
      <c r="G18" s="13" t="s">
        <v>0</v>
      </c>
      <c r="H18" s="12" t="s">
        <v>439</v>
      </c>
      <c r="I18" s="11">
        <v>768</v>
      </c>
      <c r="J18" s="10"/>
      <c r="K18" s="9">
        <v>768</v>
      </c>
      <c r="L18" s="8">
        <f t="shared" si="0"/>
        <v>0</v>
      </c>
    </row>
    <row r="19" spans="1:12" ht="162" customHeight="1" thickBot="1" x14ac:dyDescent="0.3">
      <c r="A19" s="47"/>
      <c r="B19" s="13" t="s">
        <v>38</v>
      </c>
      <c r="C19" s="12" t="s">
        <v>27</v>
      </c>
      <c r="D19" s="12" t="s">
        <v>24</v>
      </c>
      <c r="E19" s="13" t="s">
        <v>111</v>
      </c>
      <c r="F19" s="22" t="s">
        <v>4</v>
      </c>
      <c r="G19" s="13" t="s">
        <v>8</v>
      </c>
      <c r="H19" s="12" t="s">
        <v>439</v>
      </c>
      <c r="I19" s="11">
        <v>40</v>
      </c>
      <c r="J19" s="10"/>
      <c r="K19" s="9">
        <v>40</v>
      </c>
      <c r="L19" s="8">
        <f t="shared" si="0"/>
        <v>0</v>
      </c>
    </row>
    <row r="20" spans="1:12" ht="162" customHeight="1" thickBot="1" x14ac:dyDescent="0.3">
      <c r="A20" s="47"/>
      <c r="B20" s="13" t="s">
        <v>112</v>
      </c>
      <c r="C20" s="12" t="s">
        <v>34</v>
      </c>
      <c r="D20" s="12" t="s">
        <v>24</v>
      </c>
      <c r="E20" s="23" t="s">
        <v>33</v>
      </c>
      <c r="F20" s="22" t="s">
        <v>4</v>
      </c>
      <c r="G20" s="13" t="s">
        <v>0</v>
      </c>
      <c r="H20" s="12" t="s">
        <v>439</v>
      </c>
      <c r="I20" s="11">
        <v>1366</v>
      </c>
      <c r="J20" s="10"/>
      <c r="K20" s="9">
        <v>1366</v>
      </c>
      <c r="L20" s="8">
        <f t="shared" si="0"/>
        <v>0</v>
      </c>
    </row>
    <row r="21" spans="1:12" ht="162" customHeight="1" thickBot="1" x14ac:dyDescent="0.3">
      <c r="A21" s="47"/>
      <c r="B21" s="13" t="s">
        <v>38</v>
      </c>
      <c r="C21" s="12" t="s">
        <v>27</v>
      </c>
      <c r="D21" s="12" t="s">
        <v>24</v>
      </c>
      <c r="E21" s="23" t="s">
        <v>197</v>
      </c>
      <c r="F21" s="22" t="s">
        <v>4</v>
      </c>
      <c r="G21" s="13" t="s">
        <v>0</v>
      </c>
      <c r="H21" s="12" t="s">
        <v>439</v>
      </c>
      <c r="I21" s="11">
        <v>1010</v>
      </c>
      <c r="J21" s="10"/>
      <c r="K21" s="9">
        <v>1010</v>
      </c>
      <c r="L21" s="8">
        <f t="shared" si="0"/>
        <v>0</v>
      </c>
    </row>
    <row r="22" spans="1:12" ht="162" customHeight="1" thickBot="1" x14ac:dyDescent="0.3">
      <c r="A22" s="47"/>
      <c r="B22" s="13" t="s">
        <v>38</v>
      </c>
      <c r="C22" s="12" t="s">
        <v>27</v>
      </c>
      <c r="D22" s="12" t="s">
        <v>24</v>
      </c>
      <c r="E22" s="13" t="s">
        <v>111</v>
      </c>
      <c r="F22" s="22" t="s">
        <v>4</v>
      </c>
      <c r="G22" s="13" t="s">
        <v>0</v>
      </c>
      <c r="H22" s="12" t="s">
        <v>439</v>
      </c>
      <c r="I22" s="11">
        <v>1136</v>
      </c>
      <c r="J22" s="10">
        <v>500</v>
      </c>
      <c r="K22" s="9">
        <v>636</v>
      </c>
      <c r="L22" s="8">
        <f t="shared" si="0"/>
        <v>0</v>
      </c>
    </row>
    <row r="23" spans="1:12" ht="162" customHeight="1" thickBot="1" x14ac:dyDescent="0.3">
      <c r="A23" s="48"/>
      <c r="B23" s="13" t="s">
        <v>77</v>
      </c>
      <c r="C23" s="12" t="s">
        <v>27</v>
      </c>
      <c r="D23" s="12" t="s">
        <v>24</v>
      </c>
      <c r="E23" s="13" t="s">
        <v>197</v>
      </c>
      <c r="F23" s="22" t="s">
        <v>4</v>
      </c>
      <c r="G23" s="13" t="s">
        <v>0</v>
      </c>
      <c r="H23" s="12" t="s">
        <v>439</v>
      </c>
      <c r="I23" s="11">
        <v>2500</v>
      </c>
      <c r="J23" s="10">
        <v>1000</v>
      </c>
      <c r="K23" s="9">
        <v>1500</v>
      </c>
      <c r="L23" s="8">
        <f t="shared" si="0"/>
        <v>0</v>
      </c>
    </row>
    <row r="24" spans="1:12" ht="162" customHeight="1" thickBot="1" x14ac:dyDescent="0.3">
      <c r="A24" s="46" t="s">
        <v>23</v>
      </c>
      <c r="B24" s="13" t="s">
        <v>12</v>
      </c>
      <c r="C24" s="12" t="s">
        <v>6</v>
      </c>
      <c r="D24" s="12" t="s">
        <v>20</v>
      </c>
      <c r="E24" s="13" t="s">
        <v>22</v>
      </c>
      <c r="F24" s="22" t="s">
        <v>4</v>
      </c>
      <c r="G24" s="13" t="s">
        <v>8</v>
      </c>
      <c r="H24" s="12" t="s">
        <v>439</v>
      </c>
      <c r="I24" s="11">
        <v>40</v>
      </c>
      <c r="J24" s="10"/>
      <c r="K24" s="9">
        <v>40</v>
      </c>
      <c r="L24" s="8">
        <f t="shared" si="0"/>
        <v>0</v>
      </c>
    </row>
    <row r="25" spans="1:12" ht="162" customHeight="1" thickBot="1" x14ac:dyDescent="0.3">
      <c r="A25" s="47"/>
      <c r="B25" s="13" t="s">
        <v>12</v>
      </c>
      <c r="C25" s="12" t="s">
        <v>6</v>
      </c>
      <c r="D25" s="12" t="s">
        <v>20</v>
      </c>
      <c r="E25" s="23" t="s">
        <v>22</v>
      </c>
      <c r="F25" s="22" t="s">
        <v>4</v>
      </c>
      <c r="G25" s="13" t="s">
        <v>0</v>
      </c>
      <c r="H25" s="12" t="s">
        <v>439</v>
      </c>
      <c r="I25" s="11">
        <v>2534</v>
      </c>
      <c r="J25" s="10"/>
      <c r="K25" s="9">
        <v>2534</v>
      </c>
      <c r="L25" s="8">
        <f t="shared" si="0"/>
        <v>0</v>
      </c>
    </row>
    <row r="26" spans="1:12" ht="162" customHeight="1" thickBot="1" x14ac:dyDescent="0.3">
      <c r="A26" s="48"/>
      <c r="B26" s="24" t="s">
        <v>12</v>
      </c>
      <c r="C26" s="12" t="s">
        <v>6</v>
      </c>
      <c r="D26" s="22" t="s">
        <v>20</v>
      </c>
      <c r="E26" s="13" t="s">
        <v>22</v>
      </c>
      <c r="F26" s="22" t="s">
        <v>4</v>
      </c>
      <c r="G26" s="13" t="s">
        <v>0</v>
      </c>
      <c r="H26" s="12" t="s">
        <v>439</v>
      </c>
      <c r="I26" s="11">
        <v>3000</v>
      </c>
      <c r="J26" s="41">
        <v>1000</v>
      </c>
      <c r="K26" s="9">
        <v>2000</v>
      </c>
      <c r="L26" s="8">
        <f t="shared" si="0"/>
        <v>0</v>
      </c>
    </row>
    <row r="27" spans="1:12" ht="162" customHeight="1" thickBot="1" x14ac:dyDescent="0.3">
      <c r="A27" s="46" t="s">
        <v>54</v>
      </c>
      <c r="B27" s="24" t="s">
        <v>172</v>
      </c>
      <c r="C27" s="12" t="s">
        <v>173</v>
      </c>
      <c r="D27" s="22" t="s">
        <v>174</v>
      </c>
      <c r="E27" s="13" t="s">
        <v>176</v>
      </c>
      <c r="F27" s="22" t="s">
        <v>4</v>
      </c>
      <c r="G27" s="13" t="s">
        <v>0</v>
      </c>
      <c r="H27" s="12" t="s">
        <v>439</v>
      </c>
      <c r="I27" s="11">
        <v>1000</v>
      </c>
      <c r="J27" s="10"/>
      <c r="K27" s="9">
        <v>1000</v>
      </c>
      <c r="L27" s="8">
        <f t="shared" si="0"/>
        <v>0</v>
      </c>
    </row>
    <row r="28" spans="1:12" ht="162" customHeight="1" thickBot="1" x14ac:dyDescent="0.3">
      <c r="A28" s="47"/>
      <c r="B28" s="24" t="s">
        <v>172</v>
      </c>
      <c r="C28" s="12" t="s">
        <v>173</v>
      </c>
      <c r="D28" s="22" t="s">
        <v>174</v>
      </c>
      <c r="E28" s="23" t="s">
        <v>176</v>
      </c>
      <c r="F28" s="22" t="s">
        <v>4</v>
      </c>
      <c r="G28" s="13" t="s">
        <v>0</v>
      </c>
      <c r="H28" s="12" t="s">
        <v>439</v>
      </c>
      <c r="I28" s="11">
        <v>600</v>
      </c>
      <c r="J28" s="10"/>
      <c r="K28" s="9">
        <v>600</v>
      </c>
      <c r="L28" s="8">
        <f t="shared" si="0"/>
        <v>0</v>
      </c>
    </row>
    <row r="29" spans="1:12" ht="162" customHeight="1" thickBot="1" x14ac:dyDescent="0.3">
      <c r="A29" s="47"/>
      <c r="B29" s="24" t="s">
        <v>223</v>
      </c>
      <c r="C29" s="12" t="s">
        <v>224</v>
      </c>
      <c r="D29" s="12" t="s">
        <v>60</v>
      </c>
      <c r="E29" s="13" t="s">
        <v>345</v>
      </c>
      <c r="F29" s="22" t="s">
        <v>4</v>
      </c>
      <c r="G29" s="13" t="s">
        <v>37</v>
      </c>
      <c r="H29" s="12" t="s">
        <v>439</v>
      </c>
      <c r="I29" s="11">
        <v>400</v>
      </c>
      <c r="J29" s="10">
        <v>400</v>
      </c>
      <c r="K29" s="9"/>
      <c r="L29" s="8">
        <f t="shared" si="0"/>
        <v>0</v>
      </c>
    </row>
    <row r="30" spans="1:12" ht="162" customHeight="1" thickBot="1" x14ac:dyDescent="0.3">
      <c r="A30" s="47"/>
      <c r="B30" s="24" t="s">
        <v>223</v>
      </c>
      <c r="C30" s="12" t="s">
        <v>224</v>
      </c>
      <c r="D30" s="12" t="s">
        <v>60</v>
      </c>
      <c r="E30" s="13" t="s">
        <v>299</v>
      </c>
      <c r="F30" s="22" t="s">
        <v>4</v>
      </c>
      <c r="G30" s="13" t="s">
        <v>37</v>
      </c>
      <c r="H30" s="12" t="s">
        <v>439</v>
      </c>
      <c r="I30" s="11">
        <v>100</v>
      </c>
      <c r="J30" s="10">
        <v>100</v>
      </c>
      <c r="K30" s="9"/>
      <c r="L30" s="8">
        <f t="shared" si="0"/>
        <v>0</v>
      </c>
    </row>
    <row r="31" spans="1:12" ht="162" customHeight="1" thickBot="1" x14ac:dyDescent="0.3">
      <c r="A31" s="47"/>
      <c r="B31" s="24" t="s">
        <v>223</v>
      </c>
      <c r="C31" s="12" t="s">
        <v>224</v>
      </c>
      <c r="D31" s="12" t="s">
        <v>60</v>
      </c>
      <c r="E31" s="13" t="s">
        <v>300</v>
      </c>
      <c r="F31" s="22" t="s">
        <v>4</v>
      </c>
      <c r="G31" s="13" t="s">
        <v>37</v>
      </c>
      <c r="H31" s="12" t="s">
        <v>439</v>
      </c>
      <c r="I31" s="11">
        <v>46</v>
      </c>
      <c r="J31" s="10"/>
      <c r="K31" s="9">
        <v>46</v>
      </c>
      <c r="L31" s="8">
        <f t="shared" si="0"/>
        <v>0</v>
      </c>
    </row>
    <row r="32" spans="1:12" ht="162" customHeight="1" thickBot="1" x14ac:dyDescent="0.3">
      <c r="A32" s="47"/>
      <c r="B32" s="24" t="s">
        <v>223</v>
      </c>
      <c r="C32" s="12" t="s">
        <v>224</v>
      </c>
      <c r="D32" s="12" t="s">
        <v>60</v>
      </c>
      <c r="E32" s="13" t="s">
        <v>446</v>
      </c>
      <c r="F32" s="22" t="s">
        <v>4</v>
      </c>
      <c r="G32" s="13" t="s">
        <v>37</v>
      </c>
      <c r="H32" s="12" t="s">
        <v>439</v>
      </c>
      <c r="I32" s="11">
        <v>2</v>
      </c>
      <c r="J32" s="10"/>
      <c r="K32" s="9">
        <v>2</v>
      </c>
      <c r="L32" s="8">
        <f t="shared" si="0"/>
        <v>0</v>
      </c>
    </row>
    <row r="33" spans="1:12" ht="162" customHeight="1" thickBot="1" x14ac:dyDescent="0.3">
      <c r="A33" s="47"/>
      <c r="B33" s="24" t="s">
        <v>223</v>
      </c>
      <c r="C33" s="12" t="s">
        <v>224</v>
      </c>
      <c r="D33" s="12" t="s">
        <v>60</v>
      </c>
      <c r="E33" s="13" t="s">
        <v>447</v>
      </c>
      <c r="F33" s="22" t="s">
        <v>4</v>
      </c>
      <c r="G33" s="13" t="s">
        <v>37</v>
      </c>
      <c r="H33" s="12" t="s">
        <v>439</v>
      </c>
      <c r="I33" s="11">
        <v>100</v>
      </c>
      <c r="J33" s="10"/>
      <c r="K33" s="9">
        <v>100</v>
      </c>
      <c r="L33" s="8">
        <f t="shared" si="0"/>
        <v>0</v>
      </c>
    </row>
    <row r="34" spans="1:12" ht="162" customHeight="1" thickBot="1" x14ac:dyDescent="0.3">
      <c r="A34" s="47"/>
      <c r="B34" s="24" t="s">
        <v>223</v>
      </c>
      <c r="C34" s="12" t="s">
        <v>224</v>
      </c>
      <c r="D34" s="12" t="s">
        <v>60</v>
      </c>
      <c r="E34" s="13" t="s">
        <v>448</v>
      </c>
      <c r="F34" s="22" t="s">
        <v>4</v>
      </c>
      <c r="G34" s="13" t="s">
        <v>37</v>
      </c>
      <c r="H34" s="12" t="s">
        <v>439</v>
      </c>
      <c r="I34" s="11">
        <v>20</v>
      </c>
      <c r="J34" s="10"/>
      <c r="K34" s="9">
        <v>20</v>
      </c>
      <c r="L34" s="8">
        <f t="shared" si="0"/>
        <v>0</v>
      </c>
    </row>
    <row r="35" spans="1:12" ht="162" customHeight="1" thickBot="1" x14ac:dyDescent="0.3">
      <c r="A35" s="47"/>
      <c r="B35" s="24" t="s">
        <v>223</v>
      </c>
      <c r="C35" s="12" t="s">
        <v>224</v>
      </c>
      <c r="D35" s="12" t="s">
        <v>60</v>
      </c>
      <c r="E35" s="13" t="s">
        <v>449</v>
      </c>
      <c r="F35" s="22" t="s">
        <v>4</v>
      </c>
      <c r="G35" s="13" t="s">
        <v>37</v>
      </c>
      <c r="H35" s="12" t="s">
        <v>439</v>
      </c>
      <c r="I35" s="11">
        <v>10</v>
      </c>
      <c r="J35" s="10"/>
      <c r="K35" s="9">
        <v>10</v>
      </c>
      <c r="L35" s="8">
        <f t="shared" si="0"/>
        <v>0</v>
      </c>
    </row>
    <row r="36" spans="1:12" ht="162" customHeight="1" thickBot="1" x14ac:dyDescent="0.3">
      <c r="A36" s="47"/>
      <c r="B36" s="24" t="s">
        <v>223</v>
      </c>
      <c r="C36" s="12" t="s">
        <v>224</v>
      </c>
      <c r="D36" s="12" t="s">
        <v>60</v>
      </c>
      <c r="E36" s="13" t="s">
        <v>450</v>
      </c>
      <c r="F36" s="22" t="s">
        <v>4</v>
      </c>
      <c r="G36" s="13" t="s">
        <v>37</v>
      </c>
      <c r="H36" s="12" t="s">
        <v>439</v>
      </c>
      <c r="I36" s="11">
        <v>1</v>
      </c>
      <c r="J36" s="10"/>
      <c r="K36" s="9">
        <v>1</v>
      </c>
      <c r="L36" s="8">
        <f t="shared" si="0"/>
        <v>0</v>
      </c>
    </row>
    <row r="37" spans="1:12" ht="162" customHeight="1" thickBot="1" x14ac:dyDescent="0.3">
      <c r="A37" s="47"/>
      <c r="B37" s="24" t="s">
        <v>223</v>
      </c>
      <c r="C37" s="12" t="s">
        <v>224</v>
      </c>
      <c r="D37" s="12" t="s">
        <v>60</v>
      </c>
      <c r="E37" s="13" t="s">
        <v>451</v>
      </c>
      <c r="F37" s="22" t="s">
        <v>4</v>
      </c>
      <c r="G37" s="13" t="s">
        <v>37</v>
      </c>
      <c r="H37" s="12" t="s">
        <v>439</v>
      </c>
      <c r="I37" s="11">
        <v>5</v>
      </c>
      <c r="J37" s="10"/>
      <c r="K37" s="9">
        <v>5</v>
      </c>
      <c r="L37" s="8">
        <f t="shared" si="0"/>
        <v>0</v>
      </c>
    </row>
    <row r="38" spans="1:12" ht="162" customHeight="1" thickBot="1" x14ac:dyDescent="0.3">
      <c r="A38" s="47"/>
      <c r="B38" s="24" t="s">
        <v>223</v>
      </c>
      <c r="C38" s="12" t="s">
        <v>224</v>
      </c>
      <c r="D38" s="12" t="s">
        <v>60</v>
      </c>
      <c r="E38" s="13" t="s">
        <v>452</v>
      </c>
      <c r="F38" s="22" t="s">
        <v>4</v>
      </c>
      <c r="G38" s="13" t="s">
        <v>37</v>
      </c>
      <c r="H38" s="12" t="s">
        <v>439</v>
      </c>
      <c r="I38" s="11">
        <v>3</v>
      </c>
      <c r="J38" s="10"/>
      <c r="K38" s="9">
        <v>3</v>
      </c>
      <c r="L38" s="8">
        <f t="shared" si="0"/>
        <v>0</v>
      </c>
    </row>
    <row r="39" spans="1:12" ht="162" customHeight="1" thickBot="1" x14ac:dyDescent="0.3">
      <c r="A39" s="47"/>
      <c r="B39" s="24" t="s">
        <v>223</v>
      </c>
      <c r="C39" s="12" t="s">
        <v>224</v>
      </c>
      <c r="D39" s="12" t="s">
        <v>60</v>
      </c>
      <c r="E39" s="13" t="s">
        <v>453</v>
      </c>
      <c r="F39" s="22" t="s">
        <v>4</v>
      </c>
      <c r="G39" s="13" t="s">
        <v>37</v>
      </c>
      <c r="H39" s="12" t="s">
        <v>439</v>
      </c>
      <c r="I39" s="11">
        <v>9</v>
      </c>
      <c r="J39" s="10"/>
      <c r="K39" s="9">
        <v>9</v>
      </c>
      <c r="L39" s="8">
        <f t="shared" si="0"/>
        <v>0</v>
      </c>
    </row>
    <row r="40" spans="1:12" ht="162" customHeight="1" thickBot="1" x14ac:dyDescent="0.3">
      <c r="A40" s="47"/>
      <c r="B40" s="24" t="s">
        <v>223</v>
      </c>
      <c r="C40" s="12" t="s">
        <v>224</v>
      </c>
      <c r="D40" s="12" t="s">
        <v>60</v>
      </c>
      <c r="E40" s="13" t="s">
        <v>454</v>
      </c>
      <c r="F40" s="22" t="s">
        <v>4</v>
      </c>
      <c r="G40" s="13" t="s">
        <v>37</v>
      </c>
      <c r="H40" s="12" t="s">
        <v>439</v>
      </c>
      <c r="I40" s="11">
        <v>1</v>
      </c>
      <c r="J40" s="10"/>
      <c r="K40" s="9">
        <v>1</v>
      </c>
      <c r="L40" s="8">
        <f t="shared" si="0"/>
        <v>0</v>
      </c>
    </row>
    <row r="41" spans="1:12" ht="162" customHeight="1" thickBot="1" x14ac:dyDescent="0.3">
      <c r="A41" s="48"/>
      <c r="B41" s="24" t="s">
        <v>223</v>
      </c>
      <c r="C41" s="12" t="s">
        <v>224</v>
      </c>
      <c r="D41" s="12" t="s">
        <v>60</v>
      </c>
      <c r="E41" s="13" t="s">
        <v>455</v>
      </c>
      <c r="F41" s="22" t="s">
        <v>4</v>
      </c>
      <c r="G41" s="13" t="s">
        <v>37</v>
      </c>
      <c r="H41" s="12" t="s">
        <v>439</v>
      </c>
      <c r="I41" s="11">
        <v>27</v>
      </c>
      <c r="J41" s="10"/>
      <c r="K41" s="9">
        <v>27</v>
      </c>
      <c r="L41" s="8">
        <f t="shared" si="0"/>
        <v>0</v>
      </c>
    </row>
    <row r="42" spans="1:12" ht="162" customHeight="1" thickBot="1" x14ac:dyDescent="0.3">
      <c r="A42" s="46" t="s">
        <v>19</v>
      </c>
      <c r="B42" s="24" t="s">
        <v>18</v>
      </c>
      <c r="C42" s="12" t="s">
        <v>17</v>
      </c>
      <c r="D42" s="12" t="s">
        <v>14</v>
      </c>
      <c r="E42" s="13" t="s">
        <v>16</v>
      </c>
      <c r="F42" s="22" t="s">
        <v>380</v>
      </c>
      <c r="G42" s="13" t="s">
        <v>0</v>
      </c>
      <c r="H42" s="12" t="s">
        <v>439</v>
      </c>
      <c r="I42" s="11">
        <v>931</v>
      </c>
      <c r="J42" s="10">
        <v>500</v>
      </c>
      <c r="K42" s="9">
        <v>431</v>
      </c>
      <c r="L42" s="8">
        <f t="shared" si="0"/>
        <v>0</v>
      </c>
    </row>
    <row r="43" spans="1:12" ht="162" customHeight="1" thickBot="1" x14ac:dyDescent="0.3">
      <c r="A43" s="47"/>
      <c r="B43" s="24" t="s">
        <v>18</v>
      </c>
      <c r="C43" s="12" t="s">
        <v>17</v>
      </c>
      <c r="D43" s="12" t="s">
        <v>14</v>
      </c>
      <c r="E43" s="23" t="s">
        <v>16</v>
      </c>
      <c r="F43" s="22" t="s">
        <v>9</v>
      </c>
      <c r="G43" s="13" t="s">
        <v>0</v>
      </c>
      <c r="H43" s="12" t="s">
        <v>437</v>
      </c>
      <c r="I43" s="11">
        <v>1820</v>
      </c>
      <c r="J43" s="10"/>
      <c r="K43" s="9">
        <v>1820</v>
      </c>
      <c r="L43" s="8">
        <f t="shared" si="0"/>
        <v>0</v>
      </c>
    </row>
    <row r="44" spans="1:12" ht="162" customHeight="1" thickBot="1" x14ac:dyDescent="0.3">
      <c r="A44" s="47"/>
      <c r="B44" s="24" t="s">
        <v>7</v>
      </c>
      <c r="C44" s="12" t="s">
        <v>15</v>
      </c>
      <c r="D44" s="12" t="s">
        <v>14</v>
      </c>
      <c r="E44" s="23" t="s">
        <v>13</v>
      </c>
      <c r="F44" s="22" t="s">
        <v>4</v>
      </c>
      <c r="G44" s="13" t="s">
        <v>0</v>
      </c>
      <c r="H44" s="12" t="s">
        <v>439</v>
      </c>
      <c r="I44" s="11">
        <v>1181</v>
      </c>
      <c r="J44" s="10"/>
      <c r="K44" s="9">
        <v>1181</v>
      </c>
      <c r="L44" s="8">
        <f t="shared" si="0"/>
        <v>0</v>
      </c>
    </row>
    <row r="45" spans="1:12" ht="162" customHeight="1" thickBot="1" x14ac:dyDescent="0.3">
      <c r="A45" s="47"/>
      <c r="B45" s="24" t="s">
        <v>7</v>
      </c>
      <c r="C45" s="12" t="s">
        <v>15</v>
      </c>
      <c r="D45" s="12" t="s">
        <v>14</v>
      </c>
      <c r="E45" s="23" t="s">
        <v>65</v>
      </c>
      <c r="F45" s="22" t="s">
        <v>4</v>
      </c>
      <c r="G45" s="13" t="s">
        <v>0</v>
      </c>
      <c r="H45" s="12" t="s">
        <v>439</v>
      </c>
      <c r="I45" s="11">
        <v>3060</v>
      </c>
      <c r="J45" s="10"/>
      <c r="K45" s="9">
        <v>3060</v>
      </c>
      <c r="L45" s="8">
        <f t="shared" si="0"/>
        <v>0</v>
      </c>
    </row>
    <row r="46" spans="1:12" ht="162" customHeight="1" thickBot="1" x14ac:dyDescent="0.3">
      <c r="A46" s="47"/>
      <c r="B46" s="24" t="s">
        <v>12</v>
      </c>
      <c r="C46" s="12" t="s">
        <v>3</v>
      </c>
      <c r="D46" s="12" t="s">
        <v>11</v>
      </c>
      <c r="E46" s="23" t="s">
        <v>10</v>
      </c>
      <c r="F46" s="22" t="s">
        <v>4</v>
      </c>
      <c r="G46" s="13" t="s">
        <v>8</v>
      </c>
      <c r="H46" s="12" t="s">
        <v>439</v>
      </c>
      <c r="I46" s="11">
        <v>400</v>
      </c>
      <c r="J46" s="10"/>
      <c r="K46" s="9">
        <v>400</v>
      </c>
      <c r="L46" s="8">
        <f t="shared" si="0"/>
        <v>0</v>
      </c>
    </row>
    <row r="47" spans="1:12" ht="162" customHeight="1" thickBot="1" x14ac:dyDescent="0.3">
      <c r="A47" s="47"/>
      <c r="B47" s="24" t="s">
        <v>12</v>
      </c>
      <c r="C47" s="12" t="s">
        <v>3</v>
      </c>
      <c r="D47" s="12" t="s">
        <v>11</v>
      </c>
      <c r="E47" s="23" t="s">
        <v>10</v>
      </c>
      <c r="F47" s="22" t="s">
        <v>4</v>
      </c>
      <c r="G47" s="13" t="s">
        <v>0</v>
      </c>
      <c r="H47" s="12" t="s">
        <v>439</v>
      </c>
      <c r="I47" s="11">
        <v>4000</v>
      </c>
      <c r="J47" s="10"/>
      <c r="K47" s="9">
        <v>4000</v>
      </c>
      <c r="L47" s="8">
        <f t="shared" si="0"/>
        <v>0</v>
      </c>
    </row>
    <row r="48" spans="1:12" ht="162" customHeight="1" thickBot="1" x14ac:dyDescent="0.3">
      <c r="A48" s="47"/>
      <c r="B48" s="24" t="s">
        <v>12</v>
      </c>
      <c r="C48" s="12" t="s">
        <v>3</v>
      </c>
      <c r="D48" s="12" t="s">
        <v>11</v>
      </c>
      <c r="E48" s="23" t="s">
        <v>10</v>
      </c>
      <c r="F48" s="22" t="s">
        <v>9</v>
      </c>
      <c r="G48" s="13" t="s">
        <v>0</v>
      </c>
      <c r="H48" s="12" t="s">
        <v>437</v>
      </c>
      <c r="I48" s="11">
        <v>2970</v>
      </c>
      <c r="J48" s="10"/>
      <c r="K48" s="9">
        <v>2970</v>
      </c>
      <c r="L48" s="8">
        <f t="shared" si="0"/>
        <v>0</v>
      </c>
    </row>
    <row r="49" spans="1:12" ht="162" customHeight="1" thickBot="1" x14ac:dyDescent="0.3">
      <c r="A49" s="47"/>
      <c r="B49" s="24" t="s">
        <v>12</v>
      </c>
      <c r="C49" s="12" t="s">
        <v>3</v>
      </c>
      <c r="D49" s="12" t="s">
        <v>11</v>
      </c>
      <c r="E49" s="23" t="s">
        <v>409</v>
      </c>
      <c r="F49" s="22" t="s">
        <v>4</v>
      </c>
      <c r="G49" s="13" t="s">
        <v>0</v>
      </c>
      <c r="H49" s="12" t="s">
        <v>439</v>
      </c>
      <c r="I49" s="11">
        <v>50</v>
      </c>
      <c r="J49" s="10"/>
      <c r="K49" s="9">
        <v>50</v>
      </c>
      <c r="L49" s="8">
        <f t="shared" si="0"/>
        <v>0</v>
      </c>
    </row>
    <row r="50" spans="1:12" ht="162" customHeight="1" thickBot="1" x14ac:dyDescent="0.3">
      <c r="A50" s="47"/>
      <c r="B50" s="24" t="s">
        <v>7</v>
      </c>
      <c r="C50" s="12" t="s">
        <v>6</v>
      </c>
      <c r="D50" s="12" t="s">
        <v>1</v>
      </c>
      <c r="E50" s="23" t="s">
        <v>5</v>
      </c>
      <c r="F50" s="22" t="s">
        <v>4</v>
      </c>
      <c r="G50" s="13" t="s">
        <v>0</v>
      </c>
      <c r="H50" s="12" t="s">
        <v>437</v>
      </c>
      <c r="I50" s="11">
        <v>2534</v>
      </c>
      <c r="J50" s="10"/>
      <c r="K50" s="9">
        <v>2534</v>
      </c>
      <c r="L50" s="8">
        <f t="shared" si="0"/>
        <v>0</v>
      </c>
    </row>
    <row r="51" spans="1:12" ht="162" customHeight="1" thickBot="1" x14ac:dyDescent="0.3">
      <c r="A51" s="47"/>
      <c r="B51" s="24" t="s">
        <v>7</v>
      </c>
      <c r="C51" s="12" t="s">
        <v>15</v>
      </c>
      <c r="D51" s="12" t="s">
        <v>14</v>
      </c>
      <c r="E51" s="13" t="s">
        <v>65</v>
      </c>
      <c r="F51" s="22" t="s">
        <v>4</v>
      </c>
      <c r="G51" s="13" t="s">
        <v>0</v>
      </c>
      <c r="H51" s="12" t="s">
        <v>439</v>
      </c>
      <c r="I51" s="11">
        <v>2000</v>
      </c>
      <c r="J51" s="10">
        <v>1000</v>
      </c>
      <c r="K51" s="9">
        <v>1000</v>
      </c>
      <c r="L51" s="8">
        <f t="shared" si="0"/>
        <v>0</v>
      </c>
    </row>
    <row r="52" spans="1:12" ht="162" customHeight="1" thickBot="1" x14ac:dyDescent="0.3">
      <c r="A52" s="47"/>
      <c r="B52" s="24" t="s">
        <v>7</v>
      </c>
      <c r="C52" s="12" t="s">
        <v>15</v>
      </c>
      <c r="D52" s="12" t="s">
        <v>14</v>
      </c>
      <c r="E52" s="13" t="s">
        <v>13</v>
      </c>
      <c r="F52" s="22" t="s">
        <v>4</v>
      </c>
      <c r="G52" s="13" t="s">
        <v>0</v>
      </c>
      <c r="H52" s="12" t="s">
        <v>439</v>
      </c>
      <c r="I52" s="11">
        <v>2000</v>
      </c>
      <c r="J52" s="10">
        <v>1000</v>
      </c>
      <c r="K52" s="9">
        <v>1000</v>
      </c>
      <c r="L52" s="8">
        <f t="shared" si="0"/>
        <v>0</v>
      </c>
    </row>
    <row r="53" spans="1:12" ht="162" customHeight="1" thickBot="1" x14ac:dyDescent="0.3">
      <c r="A53" s="47"/>
      <c r="B53" s="24" t="s">
        <v>12</v>
      </c>
      <c r="C53" s="12" t="s">
        <v>3</v>
      </c>
      <c r="D53" s="12" t="s">
        <v>11</v>
      </c>
      <c r="E53" s="13" t="s">
        <v>10</v>
      </c>
      <c r="F53" s="22" t="s">
        <v>4</v>
      </c>
      <c r="G53" s="13" t="s">
        <v>0</v>
      </c>
      <c r="H53" s="12" t="s">
        <v>439</v>
      </c>
      <c r="I53" s="11">
        <v>1000</v>
      </c>
      <c r="J53" s="10">
        <v>1000</v>
      </c>
      <c r="K53" s="9"/>
      <c r="L53" s="8">
        <f t="shared" si="0"/>
        <v>0</v>
      </c>
    </row>
    <row r="54" spans="1:12" ht="162" customHeight="1" thickBot="1" x14ac:dyDescent="0.3">
      <c r="A54" s="48"/>
      <c r="B54" s="24" t="s">
        <v>7</v>
      </c>
      <c r="C54" s="12" t="s">
        <v>6</v>
      </c>
      <c r="D54" s="12" t="s">
        <v>1</v>
      </c>
      <c r="E54" s="13" t="s">
        <v>5</v>
      </c>
      <c r="F54" s="22" t="s">
        <v>9</v>
      </c>
      <c r="G54" s="13" t="s">
        <v>0</v>
      </c>
      <c r="H54" s="12" t="s">
        <v>437</v>
      </c>
      <c r="I54" s="11">
        <v>2000</v>
      </c>
      <c r="J54" s="10">
        <v>1000</v>
      </c>
      <c r="K54" s="9">
        <v>1000</v>
      </c>
      <c r="L54" s="8">
        <f t="shared" si="0"/>
        <v>0</v>
      </c>
    </row>
  </sheetData>
  <autoFilter ref="A2:L54"/>
  <dataConsolidate/>
  <mergeCells count="6">
    <mergeCell ref="A12:A23"/>
    <mergeCell ref="A24:A26"/>
    <mergeCell ref="A27:A41"/>
    <mergeCell ref="A42:A54"/>
    <mergeCell ref="A1:L1"/>
    <mergeCell ref="A3:A11"/>
  </mergeCells>
  <conditionalFormatting sqref="I2:I31 L32:L54 K3:L31">
    <cfRule type="cellIs" dxfId="21" priority="3" operator="lessThan">
      <formula>0</formula>
    </cfRule>
  </conditionalFormatting>
  <conditionalFormatting sqref="L2">
    <cfRule type="cellIs" dxfId="20" priority="2" operator="lessThan">
      <formula>0</formula>
    </cfRule>
  </conditionalFormatting>
  <conditionalFormatting sqref="I32:I54 K32:K54">
    <cfRule type="cellIs" dxfId="19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6"/>
  <sheetViews>
    <sheetView showGridLines="0" view="pageBreakPreview" topLeftCell="A42" zoomScale="20" zoomScaleNormal="15" zoomScaleSheetLayoutView="20" workbookViewId="0">
      <selection activeCell="K47" sqref="K47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458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459</v>
      </c>
      <c r="I3" s="11">
        <v>1600</v>
      </c>
      <c r="J3" s="10">
        <v>1000</v>
      </c>
      <c r="K3" s="9">
        <v>600</v>
      </c>
      <c r="L3" s="8">
        <f t="shared" ref="L3:L46" si="0">K3+J3-I3</f>
        <v>0</v>
      </c>
    </row>
    <row r="4" spans="1:12" ht="162" customHeight="1" thickBot="1" x14ac:dyDescent="0.3">
      <c r="A4" s="47"/>
      <c r="B4" s="13" t="s">
        <v>136</v>
      </c>
      <c r="C4" s="12" t="s">
        <v>235</v>
      </c>
      <c r="D4" s="12" t="s">
        <v>126</v>
      </c>
      <c r="E4" s="13" t="s">
        <v>385</v>
      </c>
      <c r="F4" s="22" t="s">
        <v>122</v>
      </c>
      <c r="G4" s="13" t="s">
        <v>0</v>
      </c>
      <c r="H4" s="12" t="s">
        <v>459</v>
      </c>
      <c r="I4" s="11">
        <v>1000</v>
      </c>
      <c r="J4" s="10"/>
      <c r="K4" s="9">
        <v>1000</v>
      </c>
      <c r="L4" s="8">
        <f t="shared" si="0"/>
        <v>0</v>
      </c>
    </row>
    <row r="5" spans="1:12" ht="162" customHeight="1" thickBot="1" x14ac:dyDescent="0.3">
      <c r="A5" s="47"/>
      <c r="B5" s="13" t="s">
        <v>136</v>
      </c>
      <c r="C5" s="12" t="s">
        <v>3</v>
      </c>
      <c r="D5" s="12" t="s">
        <v>126</v>
      </c>
      <c r="E5" s="13" t="s">
        <v>392</v>
      </c>
      <c r="F5" s="22" t="s">
        <v>122</v>
      </c>
      <c r="G5" s="13" t="s">
        <v>0</v>
      </c>
      <c r="H5" s="12" t="s">
        <v>459</v>
      </c>
      <c r="I5" s="11">
        <v>2000</v>
      </c>
      <c r="J5" s="10">
        <v>1000</v>
      </c>
      <c r="K5" s="9">
        <v>1000</v>
      </c>
      <c r="L5" s="8">
        <f t="shared" si="0"/>
        <v>0</v>
      </c>
    </row>
    <row r="6" spans="1:12" ht="162" customHeight="1" thickBot="1" x14ac:dyDescent="0.3">
      <c r="A6" s="47"/>
      <c r="B6" s="13" t="s">
        <v>136</v>
      </c>
      <c r="C6" s="12" t="s">
        <v>3</v>
      </c>
      <c r="D6" s="12" t="s">
        <v>126</v>
      </c>
      <c r="E6" s="13" t="s">
        <v>422</v>
      </c>
      <c r="F6" s="22" t="s">
        <v>122</v>
      </c>
      <c r="G6" s="13" t="s">
        <v>0</v>
      </c>
      <c r="H6" s="12" t="s">
        <v>459</v>
      </c>
      <c r="I6" s="11">
        <v>1000</v>
      </c>
      <c r="J6" s="10"/>
      <c r="K6" s="9">
        <v>1000</v>
      </c>
      <c r="L6" s="8">
        <f t="shared" si="0"/>
        <v>0</v>
      </c>
    </row>
    <row r="7" spans="1:12" ht="162" customHeight="1" thickBot="1" x14ac:dyDescent="0.3">
      <c r="A7" s="47"/>
      <c r="B7" s="13" t="s">
        <v>325</v>
      </c>
      <c r="C7" s="12" t="s">
        <v>34</v>
      </c>
      <c r="D7" s="12" t="s">
        <v>24</v>
      </c>
      <c r="E7" s="13" t="s">
        <v>33</v>
      </c>
      <c r="F7" s="22" t="s">
        <v>4</v>
      </c>
      <c r="G7" s="13" t="s">
        <v>0</v>
      </c>
      <c r="H7" s="12" t="s">
        <v>437</v>
      </c>
      <c r="I7" s="11">
        <v>8000</v>
      </c>
      <c r="J7" s="10">
        <v>3000</v>
      </c>
      <c r="K7" s="9">
        <v>5000</v>
      </c>
      <c r="L7" s="8">
        <f t="shared" si="0"/>
        <v>0</v>
      </c>
    </row>
    <row r="8" spans="1:12" ht="162" customHeight="1" thickBot="1" x14ac:dyDescent="0.3">
      <c r="A8" s="47"/>
      <c r="B8" s="13" t="s">
        <v>95</v>
      </c>
      <c r="C8" s="12" t="s">
        <v>15</v>
      </c>
      <c r="D8" s="12" t="s">
        <v>24</v>
      </c>
      <c r="E8" s="13" t="s">
        <v>96</v>
      </c>
      <c r="F8" s="22" t="s">
        <v>4</v>
      </c>
      <c r="G8" s="13" t="s">
        <v>0</v>
      </c>
      <c r="H8" s="12" t="s">
        <v>437</v>
      </c>
      <c r="I8" s="11">
        <v>3000</v>
      </c>
      <c r="J8" s="10"/>
      <c r="K8" s="9">
        <v>3000</v>
      </c>
      <c r="L8" s="8">
        <f t="shared" si="0"/>
        <v>0</v>
      </c>
    </row>
    <row r="9" spans="1:12" ht="162" customHeight="1" thickBot="1" x14ac:dyDescent="0.3">
      <c r="A9" s="47"/>
      <c r="B9" s="13" t="s">
        <v>95</v>
      </c>
      <c r="C9" s="12" t="s">
        <v>15</v>
      </c>
      <c r="D9" s="12" t="s">
        <v>24</v>
      </c>
      <c r="E9" s="13" t="s">
        <v>96</v>
      </c>
      <c r="F9" s="22" t="s">
        <v>4</v>
      </c>
      <c r="G9" s="13" t="s">
        <v>0</v>
      </c>
      <c r="H9" s="12" t="s">
        <v>437</v>
      </c>
      <c r="I9" s="11">
        <v>1296</v>
      </c>
      <c r="J9" s="10"/>
      <c r="K9" s="9">
        <v>1296</v>
      </c>
      <c r="L9" s="8">
        <f t="shared" si="0"/>
        <v>0</v>
      </c>
    </row>
    <row r="10" spans="1:12" ht="162" customHeight="1" thickBot="1" x14ac:dyDescent="0.3">
      <c r="A10" s="47"/>
      <c r="B10" s="13" t="s">
        <v>38</v>
      </c>
      <c r="C10" s="12" t="s">
        <v>27</v>
      </c>
      <c r="D10" s="12" t="s">
        <v>24</v>
      </c>
      <c r="E10" s="13" t="s">
        <v>197</v>
      </c>
      <c r="F10" s="22" t="s">
        <v>4</v>
      </c>
      <c r="G10" s="13" t="s">
        <v>0</v>
      </c>
      <c r="H10" s="12" t="s">
        <v>437</v>
      </c>
      <c r="I10" s="11">
        <v>8000</v>
      </c>
      <c r="J10" s="10"/>
      <c r="K10" s="9">
        <v>8000</v>
      </c>
      <c r="L10" s="8">
        <f t="shared" si="0"/>
        <v>0</v>
      </c>
    </row>
    <row r="11" spans="1:12" ht="162" customHeight="1" thickBot="1" x14ac:dyDescent="0.3">
      <c r="A11" s="47"/>
      <c r="B11" s="13" t="s">
        <v>38</v>
      </c>
      <c r="C11" s="12" t="s">
        <v>27</v>
      </c>
      <c r="D11" s="12" t="s">
        <v>24</v>
      </c>
      <c r="E11" s="13" t="s">
        <v>197</v>
      </c>
      <c r="F11" s="22" t="s">
        <v>4</v>
      </c>
      <c r="G11" s="13" t="s">
        <v>0</v>
      </c>
      <c r="H11" s="12" t="s">
        <v>439</v>
      </c>
      <c r="I11" s="11">
        <v>2000</v>
      </c>
      <c r="J11" s="10"/>
      <c r="K11" s="9">
        <v>2000</v>
      </c>
      <c r="L11" s="8">
        <f t="shared" si="0"/>
        <v>0</v>
      </c>
    </row>
    <row r="12" spans="1:12" ht="162" customHeight="1" thickBot="1" x14ac:dyDescent="0.3">
      <c r="A12" s="47"/>
      <c r="B12" s="13" t="s">
        <v>371</v>
      </c>
      <c r="C12" s="12" t="s">
        <v>113</v>
      </c>
      <c r="D12" s="12" t="s">
        <v>24</v>
      </c>
      <c r="E12" s="13" t="s">
        <v>292</v>
      </c>
      <c r="F12" s="22" t="s">
        <v>4</v>
      </c>
      <c r="G12" s="13" t="s">
        <v>0</v>
      </c>
      <c r="H12" s="12" t="s">
        <v>437</v>
      </c>
      <c r="I12" s="11">
        <v>1230</v>
      </c>
      <c r="J12" s="10">
        <v>500</v>
      </c>
      <c r="K12" s="9">
        <v>730</v>
      </c>
      <c r="L12" s="8">
        <f t="shared" si="0"/>
        <v>0</v>
      </c>
    </row>
    <row r="13" spans="1:12" ht="162" customHeight="1" thickBot="1" x14ac:dyDescent="0.3">
      <c r="A13" s="47"/>
      <c r="B13" s="13" t="s">
        <v>32</v>
      </c>
      <c r="C13" s="12" t="s">
        <v>31</v>
      </c>
      <c r="D13" s="12" t="s">
        <v>24</v>
      </c>
      <c r="E13" s="13" t="s">
        <v>116</v>
      </c>
      <c r="F13" s="22" t="s">
        <v>9</v>
      </c>
      <c r="G13" s="13" t="s">
        <v>0</v>
      </c>
      <c r="H13" s="12" t="s">
        <v>459</v>
      </c>
      <c r="I13" s="11">
        <v>1000</v>
      </c>
      <c r="J13" s="10">
        <v>1000</v>
      </c>
      <c r="K13" s="9"/>
      <c r="L13" s="8">
        <f t="shared" si="0"/>
        <v>0</v>
      </c>
    </row>
    <row r="14" spans="1:12" ht="162" customHeight="1" thickBot="1" x14ac:dyDescent="0.3">
      <c r="A14" s="47"/>
      <c r="B14" s="13" t="s">
        <v>32</v>
      </c>
      <c r="C14" s="12" t="s">
        <v>31</v>
      </c>
      <c r="D14" s="12" t="s">
        <v>24</v>
      </c>
      <c r="E14" s="13" t="s">
        <v>97</v>
      </c>
      <c r="F14" s="22" t="s">
        <v>380</v>
      </c>
      <c r="G14" s="13" t="s">
        <v>0</v>
      </c>
      <c r="H14" s="12" t="s">
        <v>437</v>
      </c>
      <c r="I14" s="11">
        <v>4000</v>
      </c>
      <c r="J14" s="10">
        <v>500</v>
      </c>
      <c r="K14" s="9">
        <v>3500</v>
      </c>
      <c r="L14" s="8">
        <f t="shared" si="0"/>
        <v>0</v>
      </c>
    </row>
    <row r="15" spans="1:12" ht="162" customHeight="1" thickBot="1" x14ac:dyDescent="0.3">
      <c r="A15" s="48"/>
      <c r="B15" s="13" t="s">
        <v>32</v>
      </c>
      <c r="C15" s="12" t="s">
        <v>31</v>
      </c>
      <c r="D15" s="12" t="s">
        <v>24</v>
      </c>
      <c r="E15" s="13" t="s">
        <v>80</v>
      </c>
      <c r="F15" s="22" t="s">
        <v>9</v>
      </c>
      <c r="G15" s="13" t="s">
        <v>0</v>
      </c>
      <c r="H15" s="12" t="s">
        <v>459</v>
      </c>
      <c r="I15" s="11">
        <v>1000</v>
      </c>
      <c r="J15" s="10">
        <v>1000</v>
      </c>
      <c r="K15" s="9"/>
      <c r="L15" s="8">
        <f t="shared" si="0"/>
        <v>0</v>
      </c>
    </row>
    <row r="16" spans="1:12" ht="162" customHeight="1" thickBot="1" x14ac:dyDescent="0.3">
      <c r="A16" s="46" t="s">
        <v>36</v>
      </c>
      <c r="B16" s="13" t="s">
        <v>239</v>
      </c>
      <c r="C16" s="12" t="s">
        <v>163</v>
      </c>
      <c r="D16" s="12" t="s">
        <v>24</v>
      </c>
      <c r="E16" s="13" t="s">
        <v>250</v>
      </c>
      <c r="F16" s="22" t="s">
        <v>102</v>
      </c>
      <c r="G16" s="13" t="s">
        <v>37</v>
      </c>
      <c r="H16" s="12" t="s">
        <v>437</v>
      </c>
      <c r="I16" s="11">
        <v>243</v>
      </c>
      <c r="J16" s="10"/>
      <c r="K16" s="9">
        <v>243</v>
      </c>
      <c r="L16" s="8">
        <f t="shared" si="0"/>
        <v>0</v>
      </c>
    </row>
    <row r="17" spans="1:12" ht="162" customHeight="1" thickBot="1" x14ac:dyDescent="0.3">
      <c r="A17" s="47"/>
      <c r="B17" s="13" t="s">
        <v>239</v>
      </c>
      <c r="C17" s="12" t="s">
        <v>163</v>
      </c>
      <c r="D17" s="12" t="s">
        <v>24</v>
      </c>
      <c r="E17" s="13" t="s">
        <v>251</v>
      </c>
      <c r="F17" s="22" t="s">
        <v>102</v>
      </c>
      <c r="G17" s="13" t="s">
        <v>37</v>
      </c>
      <c r="H17" s="12" t="s">
        <v>437</v>
      </c>
      <c r="I17" s="11">
        <v>204</v>
      </c>
      <c r="J17" s="10"/>
      <c r="K17" s="9">
        <v>204</v>
      </c>
      <c r="L17" s="8">
        <f t="shared" si="0"/>
        <v>0</v>
      </c>
    </row>
    <row r="18" spans="1:12" ht="162" customHeight="1" thickBot="1" x14ac:dyDescent="0.3">
      <c r="A18" s="47"/>
      <c r="B18" s="13" t="s">
        <v>28</v>
      </c>
      <c r="C18" s="12" t="s">
        <v>34</v>
      </c>
      <c r="D18" s="12" t="s">
        <v>24</v>
      </c>
      <c r="E18" s="13" t="s">
        <v>33</v>
      </c>
      <c r="F18" s="22" t="s">
        <v>4</v>
      </c>
      <c r="G18" s="13" t="s">
        <v>0</v>
      </c>
      <c r="H18" s="12" t="s">
        <v>437</v>
      </c>
      <c r="I18" s="11">
        <v>3000</v>
      </c>
      <c r="J18" s="10"/>
      <c r="K18" s="9">
        <v>3000</v>
      </c>
      <c r="L18" s="8">
        <f t="shared" si="0"/>
        <v>0</v>
      </c>
    </row>
    <row r="19" spans="1:12" ht="162" customHeight="1" thickBot="1" x14ac:dyDescent="0.3">
      <c r="A19" s="47"/>
      <c r="B19" s="13" t="s">
        <v>28</v>
      </c>
      <c r="C19" s="12" t="s">
        <v>34</v>
      </c>
      <c r="D19" s="12" t="s">
        <v>24</v>
      </c>
      <c r="E19" s="13" t="s">
        <v>33</v>
      </c>
      <c r="F19" s="22" t="s">
        <v>4</v>
      </c>
      <c r="G19" s="13" t="s">
        <v>0</v>
      </c>
      <c r="H19" s="12" t="s">
        <v>437</v>
      </c>
      <c r="I19" s="11">
        <v>3000</v>
      </c>
      <c r="J19" s="10"/>
      <c r="K19" s="9">
        <v>3000</v>
      </c>
      <c r="L19" s="8">
        <f t="shared" si="0"/>
        <v>0</v>
      </c>
    </row>
    <row r="20" spans="1:12" ht="162" customHeight="1" thickBot="1" x14ac:dyDescent="0.3">
      <c r="A20" s="47"/>
      <c r="B20" s="13" t="s">
        <v>112</v>
      </c>
      <c r="C20" s="12" t="s">
        <v>34</v>
      </c>
      <c r="D20" s="12" t="s">
        <v>24</v>
      </c>
      <c r="E20" s="13" t="s">
        <v>33</v>
      </c>
      <c r="F20" s="22" t="s">
        <v>4</v>
      </c>
      <c r="G20" s="13" t="s">
        <v>0</v>
      </c>
      <c r="H20" s="12" t="s">
        <v>437</v>
      </c>
      <c r="I20" s="11">
        <v>2500</v>
      </c>
      <c r="J20" s="10"/>
      <c r="K20" s="9">
        <v>2500</v>
      </c>
      <c r="L20" s="8">
        <f t="shared" si="0"/>
        <v>0</v>
      </c>
    </row>
    <row r="21" spans="1:12" ht="162" customHeight="1" thickBot="1" x14ac:dyDescent="0.3">
      <c r="A21" s="47"/>
      <c r="B21" s="13" t="s">
        <v>61</v>
      </c>
      <c r="C21" s="12" t="s">
        <v>31</v>
      </c>
      <c r="D21" s="12" t="s">
        <v>24</v>
      </c>
      <c r="E21" s="13" t="s">
        <v>116</v>
      </c>
      <c r="F21" s="22" t="s">
        <v>9</v>
      </c>
      <c r="G21" s="13" t="s">
        <v>0</v>
      </c>
      <c r="H21" s="12" t="s">
        <v>459</v>
      </c>
      <c r="I21" s="11">
        <v>1000</v>
      </c>
      <c r="J21" s="10"/>
      <c r="K21" s="9">
        <v>1000</v>
      </c>
      <c r="L21" s="8">
        <f t="shared" si="0"/>
        <v>0</v>
      </c>
    </row>
    <row r="22" spans="1:12" ht="162" customHeight="1" thickBot="1" x14ac:dyDescent="0.3">
      <c r="A22" s="47"/>
      <c r="B22" s="13" t="s">
        <v>61</v>
      </c>
      <c r="C22" s="12" t="s">
        <v>31</v>
      </c>
      <c r="D22" s="12" t="s">
        <v>24</v>
      </c>
      <c r="E22" s="13" t="s">
        <v>97</v>
      </c>
      <c r="F22" s="22" t="s">
        <v>4</v>
      </c>
      <c r="G22" s="13" t="s">
        <v>0</v>
      </c>
      <c r="H22" s="12" t="s">
        <v>459</v>
      </c>
      <c r="I22" s="11">
        <v>2500</v>
      </c>
      <c r="J22" s="10"/>
      <c r="K22" s="9">
        <v>2500</v>
      </c>
      <c r="L22" s="8">
        <f t="shared" si="0"/>
        <v>0</v>
      </c>
    </row>
    <row r="23" spans="1:12" ht="162" customHeight="1" thickBot="1" x14ac:dyDescent="0.3">
      <c r="A23" s="47"/>
      <c r="B23" s="13" t="s">
        <v>32</v>
      </c>
      <c r="C23" s="12" t="s">
        <v>31</v>
      </c>
      <c r="D23" s="12" t="s">
        <v>24</v>
      </c>
      <c r="E23" s="13" t="s">
        <v>97</v>
      </c>
      <c r="F23" s="22" t="s">
        <v>4</v>
      </c>
      <c r="G23" s="13" t="s">
        <v>0</v>
      </c>
      <c r="H23" s="12" t="s">
        <v>437</v>
      </c>
      <c r="I23" s="11">
        <v>1500</v>
      </c>
      <c r="J23" s="10"/>
      <c r="K23" s="9">
        <v>1500</v>
      </c>
      <c r="L23" s="8">
        <f t="shared" si="0"/>
        <v>0</v>
      </c>
    </row>
    <row r="24" spans="1:12" ht="162" customHeight="1" thickBot="1" x14ac:dyDescent="0.3">
      <c r="A24" s="47"/>
      <c r="B24" s="13" t="s">
        <v>32</v>
      </c>
      <c r="C24" s="12" t="s">
        <v>31</v>
      </c>
      <c r="D24" s="12" t="s">
        <v>24</v>
      </c>
      <c r="E24" s="13" t="s">
        <v>80</v>
      </c>
      <c r="F24" s="22" t="s">
        <v>9</v>
      </c>
      <c r="G24" s="13" t="s">
        <v>0</v>
      </c>
      <c r="H24" s="12" t="s">
        <v>459</v>
      </c>
      <c r="I24" s="11">
        <v>2000</v>
      </c>
      <c r="J24" s="10">
        <v>2000</v>
      </c>
      <c r="K24" s="9"/>
      <c r="L24" s="8">
        <f t="shared" si="0"/>
        <v>0</v>
      </c>
    </row>
    <row r="25" spans="1:12" ht="162" customHeight="1" thickBot="1" x14ac:dyDescent="0.3">
      <c r="A25" s="47"/>
      <c r="B25" s="13" t="s">
        <v>35</v>
      </c>
      <c r="C25" s="12" t="s">
        <v>27</v>
      </c>
      <c r="D25" s="12" t="s">
        <v>24</v>
      </c>
      <c r="E25" s="13" t="s">
        <v>197</v>
      </c>
      <c r="F25" s="22" t="s">
        <v>380</v>
      </c>
      <c r="G25" s="13" t="s">
        <v>0</v>
      </c>
      <c r="H25" s="12" t="s">
        <v>437</v>
      </c>
      <c r="I25" s="11">
        <v>3000</v>
      </c>
      <c r="J25" s="10"/>
      <c r="K25" s="9">
        <v>3000</v>
      </c>
      <c r="L25" s="8">
        <f t="shared" si="0"/>
        <v>0</v>
      </c>
    </row>
    <row r="26" spans="1:12" ht="162" customHeight="1" thickBot="1" x14ac:dyDescent="0.3">
      <c r="A26" s="47"/>
      <c r="B26" s="24" t="s">
        <v>284</v>
      </c>
      <c r="C26" s="12" t="s">
        <v>113</v>
      </c>
      <c r="D26" s="22" t="s">
        <v>24</v>
      </c>
      <c r="E26" s="13" t="s">
        <v>292</v>
      </c>
      <c r="F26" s="22" t="s">
        <v>4</v>
      </c>
      <c r="G26" s="13" t="s">
        <v>0</v>
      </c>
      <c r="H26" s="12" t="s">
        <v>437</v>
      </c>
      <c r="I26" s="11">
        <v>1230</v>
      </c>
      <c r="J26" s="41"/>
      <c r="K26" s="9">
        <v>1230</v>
      </c>
      <c r="L26" s="8">
        <f t="shared" si="0"/>
        <v>0</v>
      </c>
    </row>
    <row r="27" spans="1:12" ht="162" customHeight="1" thickBot="1" x14ac:dyDescent="0.3">
      <c r="A27" s="47"/>
      <c r="B27" s="24" t="s">
        <v>40</v>
      </c>
      <c r="C27" s="12" t="s">
        <v>15</v>
      </c>
      <c r="D27" s="22" t="s">
        <v>24</v>
      </c>
      <c r="E27" s="13" t="s">
        <v>96</v>
      </c>
      <c r="F27" s="22" t="s">
        <v>4</v>
      </c>
      <c r="G27" s="13" t="s">
        <v>0</v>
      </c>
      <c r="H27" s="12" t="s">
        <v>437</v>
      </c>
      <c r="I27" s="11">
        <v>3000</v>
      </c>
      <c r="J27" s="10">
        <v>1000</v>
      </c>
      <c r="K27" s="9">
        <v>2000</v>
      </c>
      <c r="L27" s="8">
        <f t="shared" si="0"/>
        <v>0</v>
      </c>
    </row>
    <row r="28" spans="1:12" ht="162" customHeight="1" thickBot="1" x14ac:dyDescent="0.3">
      <c r="A28" s="47"/>
      <c r="B28" s="24" t="s">
        <v>38</v>
      </c>
      <c r="C28" s="12" t="s">
        <v>27</v>
      </c>
      <c r="D28" s="22" t="s">
        <v>24</v>
      </c>
      <c r="E28" s="13" t="s">
        <v>197</v>
      </c>
      <c r="F28" s="22" t="s">
        <v>4</v>
      </c>
      <c r="G28" s="13" t="s">
        <v>0</v>
      </c>
      <c r="H28" s="12" t="s">
        <v>437</v>
      </c>
      <c r="I28" s="11">
        <v>1000</v>
      </c>
      <c r="J28" s="10">
        <v>1000</v>
      </c>
      <c r="K28" s="9"/>
      <c r="L28" s="8">
        <f t="shared" si="0"/>
        <v>0</v>
      </c>
    </row>
    <row r="29" spans="1:12" ht="162" customHeight="1" thickBot="1" x14ac:dyDescent="0.3">
      <c r="A29" s="48"/>
      <c r="B29" s="24" t="s">
        <v>77</v>
      </c>
      <c r="C29" s="12" t="s">
        <v>27</v>
      </c>
      <c r="D29" s="12" t="s">
        <v>24</v>
      </c>
      <c r="E29" s="13" t="s">
        <v>197</v>
      </c>
      <c r="F29" s="22" t="s">
        <v>380</v>
      </c>
      <c r="G29" s="13" t="s">
        <v>0</v>
      </c>
      <c r="H29" s="12" t="s">
        <v>439</v>
      </c>
      <c r="I29" s="11">
        <v>2000</v>
      </c>
      <c r="J29" s="10"/>
      <c r="K29" s="9">
        <v>2000</v>
      </c>
      <c r="L29" s="8">
        <f t="shared" si="0"/>
        <v>0</v>
      </c>
    </row>
    <row r="30" spans="1:12" ht="162" customHeight="1" thickBot="1" x14ac:dyDescent="0.3">
      <c r="A30" s="46" t="s">
        <v>23</v>
      </c>
      <c r="B30" s="24" t="s">
        <v>12</v>
      </c>
      <c r="C30" s="12" t="s">
        <v>6</v>
      </c>
      <c r="D30" s="12" t="s">
        <v>20</v>
      </c>
      <c r="E30" s="13" t="s">
        <v>22</v>
      </c>
      <c r="F30" s="22" t="s">
        <v>4</v>
      </c>
      <c r="G30" s="13" t="s">
        <v>0</v>
      </c>
      <c r="H30" s="12" t="s">
        <v>437</v>
      </c>
      <c r="I30" s="11">
        <v>6000</v>
      </c>
      <c r="J30" s="10">
        <v>1000</v>
      </c>
      <c r="K30" s="9">
        <v>5000</v>
      </c>
      <c r="L30" s="8">
        <f t="shared" si="0"/>
        <v>0</v>
      </c>
    </row>
    <row r="31" spans="1:12" ht="162" customHeight="1" thickBot="1" x14ac:dyDescent="0.3">
      <c r="A31" s="47"/>
      <c r="B31" s="24" t="s">
        <v>12</v>
      </c>
      <c r="C31" s="12" t="s">
        <v>6</v>
      </c>
      <c r="D31" s="12" t="s">
        <v>20</v>
      </c>
      <c r="E31" s="13" t="s">
        <v>22</v>
      </c>
      <c r="F31" s="22" t="s">
        <v>4</v>
      </c>
      <c r="G31" s="13" t="s">
        <v>0</v>
      </c>
      <c r="H31" s="12" t="s">
        <v>437</v>
      </c>
      <c r="I31" s="11">
        <v>3000</v>
      </c>
      <c r="J31" s="10"/>
      <c r="K31" s="9">
        <v>3000</v>
      </c>
      <c r="L31" s="8">
        <f t="shared" si="0"/>
        <v>0</v>
      </c>
    </row>
    <row r="32" spans="1:12" ht="162" customHeight="1" thickBot="1" x14ac:dyDescent="0.3">
      <c r="A32" s="48"/>
      <c r="B32" s="24" t="s">
        <v>21</v>
      </c>
      <c r="C32" s="12" t="s">
        <v>3</v>
      </c>
      <c r="D32" s="12" t="s">
        <v>20</v>
      </c>
      <c r="E32" s="13" t="s">
        <v>56</v>
      </c>
      <c r="F32" s="22" t="s">
        <v>9</v>
      </c>
      <c r="G32" s="13" t="s">
        <v>0</v>
      </c>
      <c r="H32" s="12" t="s">
        <v>437</v>
      </c>
      <c r="I32" s="11">
        <v>2410</v>
      </c>
      <c r="J32" s="10">
        <v>1000</v>
      </c>
      <c r="K32" s="9">
        <v>1410</v>
      </c>
      <c r="L32" s="8">
        <f t="shared" si="0"/>
        <v>0</v>
      </c>
    </row>
    <row r="33" spans="1:12" ht="162" customHeight="1" thickBot="1" x14ac:dyDescent="0.3">
      <c r="A33" s="21" t="s">
        <v>54</v>
      </c>
      <c r="B33" s="24" t="s">
        <v>172</v>
      </c>
      <c r="C33" s="12" t="s">
        <v>173</v>
      </c>
      <c r="D33" s="12" t="s">
        <v>174</v>
      </c>
      <c r="E33" s="13" t="s">
        <v>176</v>
      </c>
      <c r="F33" s="22" t="s">
        <v>4</v>
      </c>
      <c r="G33" s="13" t="s">
        <v>0</v>
      </c>
      <c r="H33" s="12" t="s">
        <v>439</v>
      </c>
      <c r="I33" s="11">
        <v>1398</v>
      </c>
      <c r="J33" s="10"/>
      <c r="K33" s="9">
        <v>1398</v>
      </c>
      <c r="L33" s="8">
        <f t="shared" si="0"/>
        <v>0</v>
      </c>
    </row>
    <row r="34" spans="1:12" ht="162" customHeight="1" thickBot="1" x14ac:dyDescent="0.3">
      <c r="A34" s="46" t="s">
        <v>19</v>
      </c>
      <c r="B34" s="24" t="s">
        <v>18</v>
      </c>
      <c r="C34" s="12" t="s">
        <v>17</v>
      </c>
      <c r="D34" s="12" t="s">
        <v>14</v>
      </c>
      <c r="E34" s="13" t="s">
        <v>16</v>
      </c>
      <c r="F34" s="22" t="s">
        <v>380</v>
      </c>
      <c r="G34" s="13" t="s">
        <v>0</v>
      </c>
      <c r="H34" s="12" t="s">
        <v>437</v>
      </c>
      <c r="I34" s="11">
        <v>1500</v>
      </c>
      <c r="J34" s="10">
        <v>500</v>
      </c>
      <c r="K34" s="9">
        <v>1000</v>
      </c>
      <c r="L34" s="8">
        <f t="shared" si="0"/>
        <v>0</v>
      </c>
    </row>
    <row r="35" spans="1:12" ht="162" customHeight="1" thickBot="1" x14ac:dyDescent="0.3">
      <c r="A35" s="47"/>
      <c r="B35" s="24" t="s">
        <v>18</v>
      </c>
      <c r="C35" s="12" t="s">
        <v>17</v>
      </c>
      <c r="D35" s="12" t="s">
        <v>14</v>
      </c>
      <c r="E35" s="13" t="s">
        <v>16</v>
      </c>
      <c r="F35" s="22" t="s">
        <v>4</v>
      </c>
      <c r="G35" s="13" t="s">
        <v>0</v>
      </c>
      <c r="H35" s="12" t="s">
        <v>437</v>
      </c>
      <c r="I35" s="11">
        <v>840</v>
      </c>
      <c r="J35" s="10"/>
      <c r="K35" s="9">
        <v>840</v>
      </c>
      <c r="L35" s="8">
        <f t="shared" si="0"/>
        <v>0</v>
      </c>
    </row>
    <row r="36" spans="1:12" ht="162" customHeight="1" thickBot="1" x14ac:dyDescent="0.3">
      <c r="A36" s="47"/>
      <c r="B36" s="24" t="s">
        <v>18</v>
      </c>
      <c r="C36" s="12" t="s">
        <v>17</v>
      </c>
      <c r="D36" s="12" t="s">
        <v>14</v>
      </c>
      <c r="E36" s="13" t="s">
        <v>16</v>
      </c>
      <c r="F36" s="22" t="s">
        <v>9</v>
      </c>
      <c r="G36" s="13" t="s">
        <v>0</v>
      </c>
      <c r="H36" s="12" t="s">
        <v>459</v>
      </c>
      <c r="I36" s="11">
        <v>50</v>
      </c>
      <c r="J36" s="10"/>
      <c r="K36" s="9">
        <v>50</v>
      </c>
      <c r="L36" s="8">
        <f t="shared" si="0"/>
        <v>0</v>
      </c>
    </row>
    <row r="37" spans="1:12" ht="162" customHeight="1" thickBot="1" x14ac:dyDescent="0.3">
      <c r="A37" s="47"/>
      <c r="B37" s="24" t="s">
        <v>7</v>
      </c>
      <c r="C37" s="12" t="s">
        <v>17</v>
      </c>
      <c r="D37" s="12" t="s">
        <v>120</v>
      </c>
      <c r="E37" s="13" t="s">
        <v>121</v>
      </c>
      <c r="F37" s="22" t="s">
        <v>122</v>
      </c>
      <c r="G37" s="13" t="s">
        <v>0</v>
      </c>
      <c r="H37" s="12" t="s">
        <v>459</v>
      </c>
      <c r="I37" s="11">
        <v>3000</v>
      </c>
      <c r="J37" s="10">
        <v>1000</v>
      </c>
      <c r="K37" s="9">
        <v>2000</v>
      </c>
      <c r="L37" s="8">
        <f t="shared" si="0"/>
        <v>0</v>
      </c>
    </row>
    <row r="38" spans="1:12" ht="162" customHeight="1" thickBot="1" x14ac:dyDescent="0.3">
      <c r="A38" s="47"/>
      <c r="B38" s="24" t="s">
        <v>7</v>
      </c>
      <c r="C38" s="12" t="s">
        <v>15</v>
      </c>
      <c r="D38" s="12" t="s">
        <v>14</v>
      </c>
      <c r="E38" s="13" t="s">
        <v>65</v>
      </c>
      <c r="F38" s="22" t="s">
        <v>4</v>
      </c>
      <c r="G38" s="13" t="s">
        <v>0</v>
      </c>
      <c r="H38" s="12" t="s">
        <v>437</v>
      </c>
      <c r="I38" s="11">
        <v>3280</v>
      </c>
      <c r="J38" s="10">
        <v>1000</v>
      </c>
      <c r="K38" s="9">
        <v>2280</v>
      </c>
      <c r="L38" s="8">
        <f t="shared" si="0"/>
        <v>0</v>
      </c>
    </row>
    <row r="39" spans="1:12" ht="162" customHeight="1" thickBot="1" x14ac:dyDescent="0.3">
      <c r="A39" s="47"/>
      <c r="B39" s="24" t="s">
        <v>12</v>
      </c>
      <c r="C39" s="12" t="s">
        <v>3</v>
      </c>
      <c r="D39" s="12" t="s">
        <v>11</v>
      </c>
      <c r="E39" s="13" t="s">
        <v>10</v>
      </c>
      <c r="F39" s="22" t="s">
        <v>4</v>
      </c>
      <c r="G39" s="13" t="s">
        <v>0</v>
      </c>
      <c r="H39" s="12" t="s">
        <v>437</v>
      </c>
      <c r="I39" s="11">
        <v>5000</v>
      </c>
      <c r="J39" s="10">
        <v>1000</v>
      </c>
      <c r="K39" s="9">
        <v>4000</v>
      </c>
      <c r="L39" s="8">
        <f t="shared" si="0"/>
        <v>0</v>
      </c>
    </row>
    <row r="40" spans="1:12" ht="162" customHeight="1" thickBot="1" x14ac:dyDescent="0.3">
      <c r="A40" s="47"/>
      <c r="B40" s="24" t="s">
        <v>12</v>
      </c>
      <c r="C40" s="12" t="s">
        <v>3</v>
      </c>
      <c r="D40" s="12" t="s">
        <v>11</v>
      </c>
      <c r="E40" s="13" t="s">
        <v>10</v>
      </c>
      <c r="F40" s="22" t="s">
        <v>4</v>
      </c>
      <c r="G40" s="13" t="s">
        <v>0</v>
      </c>
      <c r="H40" s="12" t="s">
        <v>437</v>
      </c>
      <c r="I40" s="11">
        <v>1000</v>
      </c>
      <c r="J40" s="10">
        <v>1000</v>
      </c>
      <c r="K40" s="9"/>
      <c r="L40" s="8">
        <f t="shared" si="0"/>
        <v>0</v>
      </c>
    </row>
    <row r="41" spans="1:12" ht="162" customHeight="1" thickBot="1" x14ac:dyDescent="0.3">
      <c r="A41" s="47"/>
      <c r="B41" s="24" t="s">
        <v>12</v>
      </c>
      <c r="C41" s="12" t="s">
        <v>3</v>
      </c>
      <c r="D41" s="12" t="s">
        <v>11</v>
      </c>
      <c r="E41" s="13" t="s">
        <v>10</v>
      </c>
      <c r="F41" s="22" t="s">
        <v>4</v>
      </c>
      <c r="G41" s="13" t="s">
        <v>0</v>
      </c>
      <c r="H41" s="12" t="s">
        <v>437</v>
      </c>
      <c r="I41" s="11">
        <v>2108</v>
      </c>
      <c r="J41" s="10"/>
      <c r="K41" s="9">
        <v>2108</v>
      </c>
      <c r="L41" s="8">
        <f t="shared" si="0"/>
        <v>0</v>
      </c>
    </row>
    <row r="42" spans="1:12" ht="162" customHeight="1" thickBot="1" x14ac:dyDescent="0.3">
      <c r="A42" s="47"/>
      <c r="B42" s="24" t="s">
        <v>12</v>
      </c>
      <c r="C42" s="12" t="s">
        <v>3</v>
      </c>
      <c r="D42" s="12" t="s">
        <v>11</v>
      </c>
      <c r="E42" s="13" t="s">
        <v>10</v>
      </c>
      <c r="F42" s="22" t="s">
        <v>9</v>
      </c>
      <c r="G42" s="13" t="s">
        <v>0</v>
      </c>
      <c r="H42" s="12" t="s">
        <v>459</v>
      </c>
      <c r="I42" s="11">
        <v>2290</v>
      </c>
      <c r="J42" s="10"/>
      <c r="K42" s="9">
        <v>2290</v>
      </c>
      <c r="L42" s="8">
        <f t="shared" si="0"/>
        <v>0</v>
      </c>
    </row>
    <row r="43" spans="1:12" ht="162" customHeight="1" thickBot="1" x14ac:dyDescent="0.3">
      <c r="A43" s="47"/>
      <c r="B43" s="24" t="s">
        <v>7</v>
      </c>
      <c r="C43" s="12" t="s">
        <v>6</v>
      </c>
      <c r="D43" s="12" t="s">
        <v>1</v>
      </c>
      <c r="E43" s="13" t="s">
        <v>5</v>
      </c>
      <c r="F43" s="22" t="s">
        <v>4</v>
      </c>
      <c r="G43" s="13" t="s">
        <v>0</v>
      </c>
      <c r="H43" s="12" t="s">
        <v>437</v>
      </c>
      <c r="I43" s="11">
        <v>7000</v>
      </c>
      <c r="J43" s="10">
        <v>1000</v>
      </c>
      <c r="K43" s="9">
        <v>6000</v>
      </c>
      <c r="L43" s="8">
        <f t="shared" si="0"/>
        <v>0</v>
      </c>
    </row>
    <row r="44" spans="1:12" ht="162" customHeight="1" thickBot="1" x14ac:dyDescent="0.3">
      <c r="A44" s="47"/>
      <c r="B44" s="24" t="s">
        <v>7</v>
      </c>
      <c r="C44" s="12" t="s">
        <v>6</v>
      </c>
      <c r="D44" s="12" t="s">
        <v>1</v>
      </c>
      <c r="E44" s="13" t="s">
        <v>5</v>
      </c>
      <c r="F44" s="22" t="s">
        <v>4</v>
      </c>
      <c r="G44" s="13" t="s">
        <v>0</v>
      </c>
      <c r="H44" s="12" t="s">
        <v>437</v>
      </c>
      <c r="I44" s="11">
        <v>6594</v>
      </c>
      <c r="J44" s="10"/>
      <c r="K44" s="9">
        <v>6594</v>
      </c>
      <c r="L44" s="8">
        <f t="shared" si="0"/>
        <v>0</v>
      </c>
    </row>
    <row r="45" spans="1:12" ht="162" customHeight="1" thickBot="1" x14ac:dyDescent="0.3">
      <c r="A45" s="47"/>
      <c r="B45" s="24" t="s">
        <v>7</v>
      </c>
      <c r="C45" s="12" t="s">
        <v>6</v>
      </c>
      <c r="D45" s="12" t="s">
        <v>1</v>
      </c>
      <c r="E45" s="13" t="s">
        <v>5</v>
      </c>
      <c r="F45" s="22" t="s">
        <v>9</v>
      </c>
      <c r="G45" s="13" t="s">
        <v>0</v>
      </c>
      <c r="H45" s="12" t="s">
        <v>459</v>
      </c>
      <c r="I45" s="11">
        <v>2000</v>
      </c>
      <c r="J45" s="10"/>
      <c r="K45" s="9">
        <v>2000</v>
      </c>
      <c r="L45" s="8">
        <f t="shared" si="0"/>
        <v>0</v>
      </c>
    </row>
    <row r="46" spans="1:12" ht="162" customHeight="1" thickBot="1" x14ac:dyDescent="0.3">
      <c r="A46" s="48"/>
      <c r="B46" s="24" t="s">
        <v>194</v>
      </c>
      <c r="C46" s="12" t="s">
        <v>3</v>
      </c>
      <c r="D46" s="12" t="s">
        <v>1</v>
      </c>
      <c r="E46" s="13" t="s">
        <v>195</v>
      </c>
      <c r="F46" s="22" t="s">
        <v>122</v>
      </c>
      <c r="G46" s="13" t="s">
        <v>0</v>
      </c>
      <c r="H46" s="12" t="s">
        <v>459</v>
      </c>
      <c r="I46" s="11">
        <v>2000</v>
      </c>
      <c r="J46" s="10">
        <v>1000</v>
      </c>
      <c r="K46" s="9">
        <v>1000</v>
      </c>
      <c r="L46" s="8">
        <f t="shared" si="0"/>
        <v>0</v>
      </c>
    </row>
  </sheetData>
  <autoFilter ref="A2:L31"/>
  <dataConsolidate/>
  <mergeCells count="5">
    <mergeCell ref="A30:A32"/>
    <mergeCell ref="A34:A46"/>
    <mergeCell ref="A1:L1"/>
    <mergeCell ref="A3:A15"/>
    <mergeCell ref="A16:A29"/>
  </mergeCells>
  <conditionalFormatting sqref="I2:I30 K3:L30">
    <cfRule type="cellIs" dxfId="18" priority="5" operator="lessThan">
      <formula>0</formula>
    </cfRule>
  </conditionalFormatting>
  <conditionalFormatting sqref="L2">
    <cfRule type="cellIs" dxfId="17" priority="4" operator="lessThan">
      <formula>0</formula>
    </cfRule>
  </conditionalFormatting>
  <conditionalFormatting sqref="I31:I46 K31:L46">
    <cfRule type="cellIs" dxfId="16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29"/>
  <sheetViews>
    <sheetView showGridLines="0" view="pageBreakPreview" zoomScale="20" zoomScaleNormal="15" zoomScaleSheetLayoutView="20" workbookViewId="0">
      <selection activeCell="K5" sqref="K5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461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325</v>
      </c>
      <c r="C3" s="12" t="s">
        <v>34</v>
      </c>
      <c r="D3" s="12" t="s">
        <v>24</v>
      </c>
      <c r="E3" s="13" t="s">
        <v>33</v>
      </c>
      <c r="F3" s="22" t="s">
        <v>4</v>
      </c>
      <c r="G3" s="13" t="s">
        <v>0</v>
      </c>
      <c r="H3" s="12" t="s">
        <v>437</v>
      </c>
      <c r="I3" s="11">
        <v>7350</v>
      </c>
      <c r="J3" s="10">
        <v>3000</v>
      </c>
      <c r="K3" s="9">
        <f>3000+1350</f>
        <v>4350</v>
      </c>
      <c r="L3" s="8">
        <f t="shared" ref="L3:L29" si="0">K3+J3-I3</f>
        <v>0</v>
      </c>
    </row>
    <row r="4" spans="1:12" ht="162" customHeight="1" thickBot="1" x14ac:dyDescent="0.3">
      <c r="A4" s="47"/>
      <c r="B4" s="13" t="s">
        <v>38</v>
      </c>
      <c r="C4" s="12" t="s">
        <v>27</v>
      </c>
      <c r="D4" s="12" t="s">
        <v>24</v>
      </c>
      <c r="E4" s="13" t="s">
        <v>197</v>
      </c>
      <c r="F4" s="22" t="s">
        <v>4</v>
      </c>
      <c r="G4" s="13" t="s">
        <v>0</v>
      </c>
      <c r="H4" s="12" t="s">
        <v>437</v>
      </c>
      <c r="I4" s="11">
        <v>7262</v>
      </c>
      <c r="J4" s="10">
        <v>3000</v>
      </c>
      <c r="K4" s="9">
        <f>3000+1262</f>
        <v>4262</v>
      </c>
      <c r="L4" s="8">
        <f t="shared" si="0"/>
        <v>0</v>
      </c>
    </row>
    <row r="5" spans="1:12" ht="162" customHeight="1" thickBot="1" x14ac:dyDescent="0.3">
      <c r="A5" s="47"/>
      <c r="B5" s="13" t="s">
        <v>38</v>
      </c>
      <c r="C5" s="12" t="s">
        <v>27</v>
      </c>
      <c r="D5" s="12" t="s">
        <v>24</v>
      </c>
      <c r="E5" s="13" t="s">
        <v>55</v>
      </c>
      <c r="F5" s="22" t="s">
        <v>9</v>
      </c>
      <c r="G5" s="13" t="s">
        <v>0</v>
      </c>
      <c r="H5" s="12" t="s">
        <v>437</v>
      </c>
      <c r="I5" s="11">
        <v>1000</v>
      </c>
      <c r="J5" s="10">
        <v>1000</v>
      </c>
      <c r="K5" s="9"/>
      <c r="L5" s="8">
        <f t="shared" si="0"/>
        <v>0</v>
      </c>
    </row>
    <row r="6" spans="1:12" ht="162" customHeight="1" thickBot="1" x14ac:dyDescent="0.3">
      <c r="A6" s="47"/>
      <c r="B6" s="13" t="s">
        <v>32</v>
      </c>
      <c r="C6" s="12" t="s">
        <v>31</v>
      </c>
      <c r="D6" s="12" t="s">
        <v>24</v>
      </c>
      <c r="E6" s="13" t="s">
        <v>97</v>
      </c>
      <c r="F6" s="22" t="s">
        <v>4</v>
      </c>
      <c r="G6" s="13" t="s">
        <v>0</v>
      </c>
      <c r="H6" s="12" t="s">
        <v>437</v>
      </c>
      <c r="I6" s="11">
        <v>4184</v>
      </c>
      <c r="J6" s="10">
        <v>2000</v>
      </c>
      <c r="K6" s="9">
        <v>2184</v>
      </c>
      <c r="L6" s="8">
        <f t="shared" si="0"/>
        <v>0</v>
      </c>
    </row>
    <row r="7" spans="1:12" ht="162" customHeight="1" thickBot="1" x14ac:dyDescent="0.3">
      <c r="A7" s="47"/>
      <c r="B7" s="13" t="s">
        <v>32</v>
      </c>
      <c r="C7" s="12" t="s">
        <v>31</v>
      </c>
      <c r="D7" s="12" t="s">
        <v>24</v>
      </c>
      <c r="E7" s="13" t="s">
        <v>70</v>
      </c>
      <c r="F7" s="22" t="s">
        <v>4</v>
      </c>
      <c r="G7" s="13" t="s">
        <v>0</v>
      </c>
      <c r="H7" s="12" t="s">
        <v>437</v>
      </c>
      <c r="I7" s="11">
        <v>200</v>
      </c>
      <c r="J7" s="10"/>
      <c r="K7" s="9">
        <v>200</v>
      </c>
      <c r="L7" s="8">
        <f t="shared" si="0"/>
        <v>0</v>
      </c>
    </row>
    <row r="8" spans="1:12" ht="162" customHeight="1" thickBot="1" x14ac:dyDescent="0.3">
      <c r="A8" s="47"/>
      <c r="B8" s="13" t="s">
        <v>29</v>
      </c>
      <c r="C8" s="12" t="s">
        <v>125</v>
      </c>
      <c r="D8" s="12" t="s">
        <v>24</v>
      </c>
      <c r="E8" s="23" t="s">
        <v>232</v>
      </c>
      <c r="F8" s="22" t="s">
        <v>4</v>
      </c>
      <c r="G8" s="13" t="s">
        <v>37</v>
      </c>
      <c r="H8" s="12" t="s">
        <v>459</v>
      </c>
      <c r="I8" s="11">
        <v>1367</v>
      </c>
      <c r="J8" s="10"/>
      <c r="K8" s="9">
        <v>1367</v>
      </c>
      <c r="L8" s="8">
        <f t="shared" si="0"/>
        <v>0</v>
      </c>
    </row>
    <row r="9" spans="1:12" ht="162" customHeight="1" thickBot="1" x14ac:dyDescent="0.3">
      <c r="A9" s="48"/>
      <c r="B9" s="13" t="s">
        <v>32</v>
      </c>
      <c r="C9" s="12" t="s">
        <v>31</v>
      </c>
      <c r="D9" s="12" t="s">
        <v>24</v>
      </c>
      <c r="E9" s="13" t="s">
        <v>80</v>
      </c>
      <c r="F9" s="22" t="s">
        <v>9</v>
      </c>
      <c r="G9" s="13" t="s">
        <v>0</v>
      </c>
      <c r="H9" s="12" t="s">
        <v>459</v>
      </c>
      <c r="I9" s="11">
        <v>1000</v>
      </c>
      <c r="J9" s="10">
        <v>500</v>
      </c>
      <c r="K9" s="9">
        <v>500</v>
      </c>
      <c r="L9" s="8">
        <f t="shared" si="0"/>
        <v>0</v>
      </c>
    </row>
    <row r="10" spans="1:12" ht="162" customHeight="1" thickBot="1" x14ac:dyDescent="0.3">
      <c r="A10" s="46" t="s">
        <v>36</v>
      </c>
      <c r="B10" s="13" t="s">
        <v>239</v>
      </c>
      <c r="C10" s="12" t="s">
        <v>163</v>
      </c>
      <c r="D10" s="12" t="s">
        <v>24</v>
      </c>
      <c r="E10" s="13" t="s">
        <v>249</v>
      </c>
      <c r="F10" s="22" t="s">
        <v>102</v>
      </c>
      <c r="G10" s="13" t="s">
        <v>37</v>
      </c>
      <c r="H10" s="12" t="s">
        <v>437</v>
      </c>
      <c r="I10" s="11">
        <v>385</v>
      </c>
      <c r="J10" s="10"/>
      <c r="K10" s="9">
        <v>385</v>
      </c>
      <c r="L10" s="8">
        <f t="shared" si="0"/>
        <v>0</v>
      </c>
    </row>
    <row r="11" spans="1:12" ht="162" customHeight="1" thickBot="1" x14ac:dyDescent="0.3">
      <c r="A11" s="47"/>
      <c r="B11" s="13" t="s">
        <v>239</v>
      </c>
      <c r="C11" s="12" t="s">
        <v>163</v>
      </c>
      <c r="D11" s="12" t="s">
        <v>24</v>
      </c>
      <c r="E11" s="13" t="s">
        <v>440</v>
      </c>
      <c r="F11" s="22" t="s">
        <v>102</v>
      </c>
      <c r="G11" s="13" t="s">
        <v>37</v>
      </c>
      <c r="H11" s="12" t="s">
        <v>437</v>
      </c>
      <c r="I11" s="11">
        <v>400</v>
      </c>
      <c r="J11" s="10"/>
      <c r="K11" s="9">
        <v>400</v>
      </c>
      <c r="L11" s="8">
        <f t="shared" si="0"/>
        <v>0</v>
      </c>
    </row>
    <row r="12" spans="1:12" ht="162" customHeight="1" thickBot="1" x14ac:dyDescent="0.3">
      <c r="A12" s="47"/>
      <c r="B12" s="13" t="s">
        <v>35</v>
      </c>
      <c r="C12" s="12" t="s">
        <v>27</v>
      </c>
      <c r="D12" s="12" t="s">
        <v>24</v>
      </c>
      <c r="E12" s="23" t="s">
        <v>197</v>
      </c>
      <c r="F12" s="22" t="s">
        <v>4</v>
      </c>
      <c r="G12" s="13" t="s">
        <v>0</v>
      </c>
      <c r="H12" s="12" t="s">
        <v>437</v>
      </c>
      <c r="I12" s="11">
        <v>2762</v>
      </c>
      <c r="J12" s="10"/>
      <c r="K12" s="9">
        <v>2762</v>
      </c>
      <c r="L12" s="8">
        <f t="shared" si="0"/>
        <v>0</v>
      </c>
    </row>
    <row r="13" spans="1:12" ht="162" customHeight="1" thickBot="1" x14ac:dyDescent="0.3">
      <c r="A13" s="47"/>
      <c r="B13" s="13" t="s">
        <v>28</v>
      </c>
      <c r="C13" s="12" t="s">
        <v>34</v>
      </c>
      <c r="D13" s="12" t="s">
        <v>24</v>
      </c>
      <c r="E13" s="13" t="s">
        <v>33</v>
      </c>
      <c r="F13" s="22" t="s">
        <v>4</v>
      </c>
      <c r="G13" s="13" t="s">
        <v>0</v>
      </c>
      <c r="H13" s="12" t="s">
        <v>437</v>
      </c>
      <c r="I13" s="11">
        <v>2500</v>
      </c>
      <c r="J13" s="10"/>
      <c r="K13" s="9">
        <v>2500</v>
      </c>
      <c r="L13" s="8">
        <f t="shared" si="0"/>
        <v>0</v>
      </c>
    </row>
    <row r="14" spans="1:12" ht="162" customHeight="1" thickBot="1" x14ac:dyDescent="0.3">
      <c r="A14" s="47"/>
      <c r="B14" s="13" t="s">
        <v>28</v>
      </c>
      <c r="C14" s="12" t="s">
        <v>34</v>
      </c>
      <c r="D14" s="12" t="s">
        <v>24</v>
      </c>
      <c r="E14" s="13" t="s">
        <v>33</v>
      </c>
      <c r="F14" s="22" t="s">
        <v>4</v>
      </c>
      <c r="G14" s="13" t="s">
        <v>0</v>
      </c>
      <c r="H14" s="12" t="s">
        <v>437</v>
      </c>
      <c r="I14" s="11">
        <v>1500</v>
      </c>
      <c r="J14" s="10">
        <v>1500</v>
      </c>
      <c r="K14" s="9"/>
      <c r="L14" s="8">
        <f t="shared" si="0"/>
        <v>0</v>
      </c>
    </row>
    <row r="15" spans="1:12" ht="162" customHeight="1" thickBot="1" x14ac:dyDescent="0.3">
      <c r="A15" s="47"/>
      <c r="B15" s="13" t="s">
        <v>61</v>
      </c>
      <c r="C15" s="12" t="s">
        <v>31</v>
      </c>
      <c r="D15" s="12" t="s">
        <v>24</v>
      </c>
      <c r="E15" s="13" t="s">
        <v>97</v>
      </c>
      <c r="F15" s="22" t="s">
        <v>4</v>
      </c>
      <c r="G15" s="13" t="s">
        <v>0</v>
      </c>
      <c r="H15" s="12" t="s">
        <v>437</v>
      </c>
      <c r="I15" s="11">
        <v>2684</v>
      </c>
      <c r="J15" s="10"/>
      <c r="K15" s="9">
        <f>1500+1184</f>
        <v>2684</v>
      </c>
      <c r="L15" s="8">
        <f t="shared" si="0"/>
        <v>0</v>
      </c>
    </row>
    <row r="16" spans="1:12" ht="162" customHeight="1" thickBot="1" x14ac:dyDescent="0.3">
      <c r="A16" s="47"/>
      <c r="B16" s="13" t="s">
        <v>61</v>
      </c>
      <c r="C16" s="12" t="s">
        <v>31</v>
      </c>
      <c r="D16" s="12" t="s">
        <v>24</v>
      </c>
      <c r="E16" s="13" t="s">
        <v>70</v>
      </c>
      <c r="F16" s="22" t="s">
        <v>4</v>
      </c>
      <c r="G16" s="13" t="s">
        <v>0</v>
      </c>
      <c r="H16" s="12" t="s">
        <v>437</v>
      </c>
      <c r="I16" s="11">
        <v>200</v>
      </c>
      <c r="J16" s="10"/>
      <c r="K16" s="9">
        <v>200</v>
      </c>
      <c r="L16" s="8">
        <f t="shared" si="0"/>
        <v>0</v>
      </c>
    </row>
    <row r="17" spans="1:12" ht="162" customHeight="1" thickBot="1" x14ac:dyDescent="0.3">
      <c r="A17" s="47"/>
      <c r="B17" s="13" t="s">
        <v>32</v>
      </c>
      <c r="C17" s="12" t="s">
        <v>31</v>
      </c>
      <c r="D17" s="12" t="s">
        <v>24</v>
      </c>
      <c r="E17" s="13" t="s">
        <v>97</v>
      </c>
      <c r="F17" s="22" t="s">
        <v>4</v>
      </c>
      <c r="G17" s="13" t="s">
        <v>0</v>
      </c>
      <c r="H17" s="12" t="s">
        <v>437</v>
      </c>
      <c r="I17" s="11">
        <v>1500</v>
      </c>
      <c r="J17" s="10">
        <v>1500</v>
      </c>
      <c r="K17" s="9"/>
      <c r="L17" s="8">
        <f t="shared" si="0"/>
        <v>0</v>
      </c>
    </row>
    <row r="18" spans="1:12" ht="162" customHeight="1" thickBot="1" x14ac:dyDescent="0.3">
      <c r="A18" s="47"/>
      <c r="B18" s="13" t="s">
        <v>95</v>
      </c>
      <c r="C18" s="12" t="s">
        <v>15</v>
      </c>
      <c r="D18" s="12" t="s">
        <v>24</v>
      </c>
      <c r="E18" s="13" t="s">
        <v>96</v>
      </c>
      <c r="F18" s="22" t="s">
        <v>4</v>
      </c>
      <c r="G18" s="13" t="s">
        <v>0</v>
      </c>
      <c r="H18" s="12" t="s">
        <v>437</v>
      </c>
      <c r="I18" s="11">
        <v>1296</v>
      </c>
      <c r="J18" s="10">
        <v>500</v>
      </c>
      <c r="K18" s="9">
        <v>796</v>
      </c>
      <c r="L18" s="8">
        <f t="shared" si="0"/>
        <v>0</v>
      </c>
    </row>
    <row r="19" spans="1:12" ht="162" customHeight="1" thickBot="1" x14ac:dyDescent="0.3">
      <c r="A19" s="47"/>
      <c r="B19" s="13" t="s">
        <v>38</v>
      </c>
      <c r="C19" s="12" t="s">
        <v>27</v>
      </c>
      <c r="D19" s="12" t="s">
        <v>24</v>
      </c>
      <c r="E19" s="13" t="s">
        <v>197</v>
      </c>
      <c r="F19" s="22" t="s">
        <v>4</v>
      </c>
      <c r="G19" s="13" t="s">
        <v>0</v>
      </c>
      <c r="H19" s="12" t="s">
        <v>437</v>
      </c>
      <c r="I19" s="11">
        <v>3000</v>
      </c>
      <c r="J19" s="10"/>
      <c r="K19" s="9">
        <v>3000</v>
      </c>
      <c r="L19" s="8">
        <f t="shared" si="0"/>
        <v>0</v>
      </c>
    </row>
    <row r="20" spans="1:12" ht="162" customHeight="1" thickBot="1" x14ac:dyDescent="0.3">
      <c r="A20" s="48"/>
      <c r="B20" s="13" t="s">
        <v>77</v>
      </c>
      <c r="C20" s="12" t="s">
        <v>27</v>
      </c>
      <c r="D20" s="12" t="s">
        <v>24</v>
      </c>
      <c r="E20" s="13" t="s">
        <v>197</v>
      </c>
      <c r="F20" s="22" t="s">
        <v>4</v>
      </c>
      <c r="G20" s="13" t="s">
        <v>0</v>
      </c>
      <c r="H20" s="12" t="s">
        <v>437</v>
      </c>
      <c r="I20" s="11">
        <v>2000</v>
      </c>
      <c r="J20" s="10">
        <v>2000</v>
      </c>
      <c r="K20" s="9"/>
      <c r="L20" s="8">
        <f t="shared" si="0"/>
        <v>0</v>
      </c>
    </row>
    <row r="21" spans="1:12" ht="162" customHeight="1" thickBot="1" x14ac:dyDescent="0.3">
      <c r="A21" s="21" t="s">
        <v>23</v>
      </c>
      <c r="B21" s="13" t="s">
        <v>12</v>
      </c>
      <c r="C21" s="12" t="s">
        <v>6</v>
      </c>
      <c r="D21" s="12" t="s">
        <v>20</v>
      </c>
      <c r="E21" s="13" t="s">
        <v>22</v>
      </c>
      <c r="F21" s="22" t="s">
        <v>4</v>
      </c>
      <c r="G21" s="13" t="s">
        <v>0</v>
      </c>
      <c r="H21" s="12" t="s">
        <v>437</v>
      </c>
      <c r="I21" s="11">
        <v>3000</v>
      </c>
      <c r="J21" s="10"/>
      <c r="K21" s="9">
        <v>3000</v>
      </c>
      <c r="L21" s="8">
        <f t="shared" si="0"/>
        <v>0</v>
      </c>
    </row>
    <row r="22" spans="1:12" ht="162" customHeight="1" thickBot="1" x14ac:dyDescent="0.3">
      <c r="A22" s="46" t="s">
        <v>54</v>
      </c>
      <c r="B22" s="13" t="s">
        <v>67</v>
      </c>
      <c r="C22" s="12" t="s">
        <v>163</v>
      </c>
      <c r="D22" s="12" t="s">
        <v>60</v>
      </c>
      <c r="E22" s="13" t="s">
        <v>164</v>
      </c>
      <c r="F22" s="22" t="s">
        <v>102</v>
      </c>
      <c r="G22" s="13" t="s">
        <v>37</v>
      </c>
      <c r="H22" s="12" t="s">
        <v>437</v>
      </c>
      <c r="I22" s="11">
        <v>480</v>
      </c>
      <c r="J22" s="10">
        <v>480</v>
      </c>
      <c r="K22" s="9"/>
      <c r="L22" s="8">
        <f t="shared" si="0"/>
        <v>0</v>
      </c>
    </row>
    <row r="23" spans="1:12" ht="162" customHeight="1" thickBot="1" x14ac:dyDescent="0.3">
      <c r="A23" s="47"/>
      <c r="B23" s="13" t="s">
        <v>67</v>
      </c>
      <c r="C23" s="12" t="s">
        <v>163</v>
      </c>
      <c r="D23" s="12" t="s">
        <v>60</v>
      </c>
      <c r="E23" s="13" t="s">
        <v>165</v>
      </c>
      <c r="F23" s="22" t="s">
        <v>102</v>
      </c>
      <c r="G23" s="13" t="s">
        <v>37</v>
      </c>
      <c r="H23" s="12" t="s">
        <v>437</v>
      </c>
      <c r="I23" s="11">
        <v>13</v>
      </c>
      <c r="J23" s="10"/>
      <c r="K23" s="9">
        <v>13</v>
      </c>
      <c r="L23" s="8">
        <f t="shared" si="0"/>
        <v>0</v>
      </c>
    </row>
    <row r="24" spans="1:12" ht="162" customHeight="1" thickBot="1" x14ac:dyDescent="0.3">
      <c r="A24" s="47"/>
      <c r="B24" s="13" t="s">
        <v>67</v>
      </c>
      <c r="C24" s="12" t="s">
        <v>163</v>
      </c>
      <c r="D24" s="12" t="s">
        <v>60</v>
      </c>
      <c r="E24" s="13" t="s">
        <v>166</v>
      </c>
      <c r="F24" s="22" t="s">
        <v>102</v>
      </c>
      <c r="G24" s="13" t="s">
        <v>37</v>
      </c>
      <c r="H24" s="12" t="s">
        <v>437</v>
      </c>
      <c r="I24" s="11">
        <v>8</v>
      </c>
      <c r="J24" s="10"/>
      <c r="K24" s="9">
        <v>8</v>
      </c>
      <c r="L24" s="8">
        <f t="shared" si="0"/>
        <v>0</v>
      </c>
    </row>
    <row r="25" spans="1:12" ht="162" customHeight="1" thickBot="1" x14ac:dyDescent="0.3">
      <c r="A25" s="47"/>
      <c r="B25" s="13" t="s">
        <v>67</v>
      </c>
      <c r="C25" s="12" t="s">
        <v>163</v>
      </c>
      <c r="D25" s="12" t="s">
        <v>60</v>
      </c>
      <c r="E25" s="13" t="s">
        <v>167</v>
      </c>
      <c r="F25" s="22" t="s">
        <v>102</v>
      </c>
      <c r="G25" s="13" t="s">
        <v>37</v>
      </c>
      <c r="H25" s="12" t="s">
        <v>437</v>
      </c>
      <c r="I25" s="11">
        <v>35</v>
      </c>
      <c r="J25" s="10"/>
      <c r="K25" s="9">
        <v>35</v>
      </c>
      <c r="L25" s="8">
        <f t="shared" si="0"/>
        <v>0</v>
      </c>
    </row>
    <row r="26" spans="1:12" ht="162" customHeight="1" thickBot="1" x14ac:dyDescent="0.3">
      <c r="A26" s="47"/>
      <c r="B26" s="13" t="s">
        <v>223</v>
      </c>
      <c r="C26" s="12" t="s">
        <v>327</v>
      </c>
      <c r="D26" s="12" t="s">
        <v>60</v>
      </c>
      <c r="E26" s="13" t="s">
        <v>460</v>
      </c>
      <c r="F26" s="22" t="s">
        <v>4</v>
      </c>
      <c r="G26" s="13" t="s">
        <v>37</v>
      </c>
      <c r="H26" s="12" t="s">
        <v>437</v>
      </c>
      <c r="I26" s="11">
        <v>25</v>
      </c>
      <c r="J26" s="10">
        <v>25</v>
      </c>
      <c r="K26" s="9"/>
      <c r="L26" s="8">
        <f t="shared" si="0"/>
        <v>0</v>
      </c>
    </row>
    <row r="27" spans="1:12" ht="162" customHeight="1" thickBot="1" x14ac:dyDescent="0.3">
      <c r="A27" s="47"/>
      <c r="B27" s="13" t="s">
        <v>67</v>
      </c>
      <c r="C27" s="12" t="s">
        <v>68</v>
      </c>
      <c r="D27" s="12" t="s">
        <v>60</v>
      </c>
      <c r="E27" s="13" t="s">
        <v>160</v>
      </c>
      <c r="F27" s="22" t="s">
        <v>102</v>
      </c>
      <c r="G27" s="13" t="s">
        <v>37</v>
      </c>
      <c r="H27" s="12" t="s">
        <v>437</v>
      </c>
      <c r="I27" s="11">
        <v>139</v>
      </c>
      <c r="J27" s="10">
        <v>139</v>
      </c>
      <c r="K27" s="9"/>
      <c r="L27" s="8">
        <f t="shared" si="0"/>
        <v>0</v>
      </c>
    </row>
    <row r="28" spans="1:12" ht="162" customHeight="1" thickBot="1" x14ac:dyDescent="0.3">
      <c r="A28" s="48"/>
      <c r="B28" s="13" t="s">
        <v>67</v>
      </c>
      <c r="C28" s="12" t="s">
        <v>68</v>
      </c>
      <c r="D28" s="12" t="s">
        <v>60</v>
      </c>
      <c r="E28" s="13" t="s">
        <v>161</v>
      </c>
      <c r="F28" s="22" t="s">
        <v>102</v>
      </c>
      <c r="G28" s="13" t="s">
        <v>37</v>
      </c>
      <c r="H28" s="12" t="s">
        <v>437</v>
      </c>
      <c r="I28" s="11">
        <v>1</v>
      </c>
      <c r="J28" s="10"/>
      <c r="K28" s="9">
        <v>1</v>
      </c>
      <c r="L28" s="8">
        <f t="shared" si="0"/>
        <v>0</v>
      </c>
    </row>
    <row r="29" spans="1:12" ht="162" customHeight="1" thickBot="1" x14ac:dyDescent="0.3">
      <c r="A29" s="21" t="s">
        <v>19</v>
      </c>
      <c r="B29" s="24" t="s">
        <v>12</v>
      </c>
      <c r="C29" s="12" t="s">
        <v>285</v>
      </c>
      <c r="D29" s="22" t="s">
        <v>1</v>
      </c>
      <c r="E29" s="13" t="s">
        <v>444</v>
      </c>
      <c r="F29" s="22" t="s">
        <v>122</v>
      </c>
      <c r="G29" s="13" t="s">
        <v>8</v>
      </c>
      <c r="H29" s="12" t="s">
        <v>437</v>
      </c>
      <c r="I29" s="11">
        <v>110</v>
      </c>
      <c r="J29" s="41">
        <v>110</v>
      </c>
      <c r="K29" s="9"/>
      <c r="L29" s="8">
        <f t="shared" si="0"/>
        <v>0</v>
      </c>
    </row>
  </sheetData>
  <autoFilter ref="A2:L29"/>
  <dataConsolidate/>
  <mergeCells count="4">
    <mergeCell ref="A1:L1"/>
    <mergeCell ref="A3:A9"/>
    <mergeCell ref="A10:A20"/>
    <mergeCell ref="A22:A28"/>
  </mergeCells>
  <conditionalFormatting sqref="I2:I29 K3:L29">
    <cfRule type="cellIs" dxfId="15" priority="2" operator="lessThan">
      <formula>0</formula>
    </cfRule>
  </conditionalFormatting>
  <conditionalFormatting sqref="L2">
    <cfRule type="cellIs" dxfId="14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7"/>
  <sheetViews>
    <sheetView showGridLines="0" view="pageBreakPreview" zoomScale="20" zoomScaleNormal="15" zoomScaleSheetLayoutView="20" workbookViewId="0">
      <selection activeCell="K32" sqref="K32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462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6</v>
      </c>
      <c r="D3" s="12" t="s">
        <v>126</v>
      </c>
      <c r="E3" s="13" t="s">
        <v>137</v>
      </c>
      <c r="F3" s="22" t="s">
        <v>122</v>
      </c>
      <c r="G3" s="13" t="s">
        <v>0</v>
      </c>
      <c r="H3" s="12" t="s">
        <v>463</v>
      </c>
      <c r="I3" s="11">
        <v>2000</v>
      </c>
      <c r="J3" s="10">
        <v>1000</v>
      </c>
      <c r="K3" s="9"/>
      <c r="L3" s="8">
        <f t="shared" ref="L3:L37" si="0">K3+J3-I3</f>
        <v>-1000</v>
      </c>
    </row>
    <row r="4" spans="1:12" ht="162" customHeight="1" thickBot="1" x14ac:dyDescent="0.3">
      <c r="A4" s="47"/>
      <c r="B4" s="13" t="s">
        <v>136</v>
      </c>
      <c r="C4" s="12" t="s">
        <v>3</v>
      </c>
      <c r="D4" s="12" t="s">
        <v>126</v>
      </c>
      <c r="E4" s="13" t="s">
        <v>422</v>
      </c>
      <c r="F4" s="22" t="s">
        <v>122</v>
      </c>
      <c r="G4" s="13" t="s">
        <v>0</v>
      </c>
      <c r="H4" s="12" t="s">
        <v>463</v>
      </c>
      <c r="I4" s="11">
        <v>1000</v>
      </c>
      <c r="J4" s="10"/>
      <c r="K4" s="9"/>
      <c r="L4" s="8">
        <f t="shared" si="0"/>
        <v>-1000</v>
      </c>
    </row>
    <row r="5" spans="1:12" ht="162" customHeight="1" thickBot="1" x14ac:dyDescent="0.3">
      <c r="A5" s="47"/>
      <c r="B5" s="13" t="s">
        <v>136</v>
      </c>
      <c r="C5" s="12" t="s">
        <v>3</v>
      </c>
      <c r="D5" s="12" t="s">
        <v>126</v>
      </c>
      <c r="E5" s="13" t="s">
        <v>392</v>
      </c>
      <c r="F5" s="22" t="s">
        <v>122</v>
      </c>
      <c r="G5" s="13" t="s">
        <v>0</v>
      </c>
      <c r="H5" s="12" t="s">
        <v>463</v>
      </c>
      <c r="I5" s="11">
        <v>2000</v>
      </c>
      <c r="J5" s="10">
        <v>1000</v>
      </c>
      <c r="K5" s="9"/>
      <c r="L5" s="8">
        <f t="shared" si="0"/>
        <v>-1000</v>
      </c>
    </row>
    <row r="6" spans="1:12" ht="162" customHeight="1" thickBot="1" x14ac:dyDescent="0.3">
      <c r="A6" s="47"/>
      <c r="B6" s="13" t="s">
        <v>325</v>
      </c>
      <c r="C6" s="12" t="s">
        <v>34</v>
      </c>
      <c r="D6" s="12" t="s">
        <v>24</v>
      </c>
      <c r="E6" s="13" t="s">
        <v>33</v>
      </c>
      <c r="F6" s="22" t="s">
        <v>4</v>
      </c>
      <c r="G6" s="13" t="s">
        <v>0</v>
      </c>
      <c r="H6" s="12" t="s">
        <v>459</v>
      </c>
      <c r="I6" s="11">
        <v>8000</v>
      </c>
      <c r="J6" s="10"/>
      <c r="K6" s="9"/>
      <c r="L6" s="8">
        <f t="shared" si="0"/>
        <v>-8000</v>
      </c>
    </row>
    <row r="7" spans="1:12" ht="162" customHeight="1" thickBot="1" x14ac:dyDescent="0.3">
      <c r="A7" s="47"/>
      <c r="B7" s="13" t="s">
        <v>95</v>
      </c>
      <c r="C7" s="12" t="s">
        <v>15</v>
      </c>
      <c r="D7" s="12" t="s">
        <v>24</v>
      </c>
      <c r="E7" s="23" t="s">
        <v>96</v>
      </c>
      <c r="F7" s="22" t="s">
        <v>4</v>
      </c>
      <c r="G7" s="13" t="s">
        <v>0</v>
      </c>
      <c r="H7" s="12" t="s">
        <v>459</v>
      </c>
      <c r="I7" s="11">
        <v>4500</v>
      </c>
      <c r="J7" s="10">
        <f>1500+1000</f>
        <v>2500</v>
      </c>
      <c r="K7" s="9"/>
      <c r="L7" s="8">
        <f t="shared" si="0"/>
        <v>-2000</v>
      </c>
    </row>
    <row r="8" spans="1:12" ht="162" customHeight="1" thickBot="1" x14ac:dyDescent="0.3">
      <c r="A8" s="47"/>
      <c r="B8" s="13" t="s">
        <v>38</v>
      </c>
      <c r="C8" s="12" t="s">
        <v>27</v>
      </c>
      <c r="D8" s="12" t="s">
        <v>24</v>
      </c>
      <c r="E8" s="13" t="s">
        <v>197</v>
      </c>
      <c r="F8" s="22" t="s">
        <v>4</v>
      </c>
      <c r="G8" s="13" t="s">
        <v>0</v>
      </c>
      <c r="H8" s="12" t="s">
        <v>459</v>
      </c>
      <c r="I8" s="11">
        <v>8000</v>
      </c>
      <c r="J8" s="10">
        <v>1000</v>
      </c>
      <c r="K8" s="9"/>
      <c r="L8" s="8">
        <f t="shared" si="0"/>
        <v>-7000</v>
      </c>
    </row>
    <row r="9" spans="1:12" ht="162" customHeight="1" thickBot="1" x14ac:dyDescent="0.3">
      <c r="A9" s="47"/>
      <c r="B9" s="13" t="s">
        <v>371</v>
      </c>
      <c r="C9" s="12" t="s">
        <v>113</v>
      </c>
      <c r="D9" s="12" t="s">
        <v>24</v>
      </c>
      <c r="E9" s="23" t="s">
        <v>114</v>
      </c>
      <c r="F9" s="22" t="s">
        <v>4</v>
      </c>
      <c r="G9" s="13" t="s">
        <v>0</v>
      </c>
      <c r="H9" s="12" t="s">
        <v>459</v>
      </c>
      <c r="I9" s="11">
        <v>2500</v>
      </c>
      <c r="J9" s="10">
        <v>1500</v>
      </c>
      <c r="K9" s="9"/>
      <c r="L9" s="8">
        <f t="shared" si="0"/>
        <v>-1000</v>
      </c>
    </row>
    <row r="10" spans="1:12" ht="162" customHeight="1" thickBot="1" x14ac:dyDescent="0.3">
      <c r="A10" s="47"/>
      <c r="B10" s="13" t="s">
        <v>371</v>
      </c>
      <c r="C10" s="12" t="s">
        <v>113</v>
      </c>
      <c r="D10" s="12" t="s">
        <v>24</v>
      </c>
      <c r="E10" s="13" t="s">
        <v>292</v>
      </c>
      <c r="F10" s="22" t="s">
        <v>4</v>
      </c>
      <c r="G10" s="13" t="s">
        <v>0</v>
      </c>
      <c r="H10" s="12" t="s">
        <v>459</v>
      </c>
      <c r="I10" s="11">
        <v>1500</v>
      </c>
      <c r="J10" s="10">
        <v>500</v>
      </c>
      <c r="K10" s="9"/>
      <c r="L10" s="8">
        <f t="shared" si="0"/>
        <v>-1000</v>
      </c>
    </row>
    <row r="11" spans="1:12" ht="162" customHeight="1" thickBot="1" x14ac:dyDescent="0.3">
      <c r="A11" s="47"/>
      <c r="B11" s="13" t="s">
        <v>32</v>
      </c>
      <c r="C11" s="12" t="s">
        <v>31</v>
      </c>
      <c r="D11" s="12" t="s">
        <v>24</v>
      </c>
      <c r="E11" s="13" t="s">
        <v>80</v>
      </c>
      <c r="F11" s="22" t="s">
        <v>9</v>
      </c>
      <c r="G11" s="13" t="s">
        <v>0</v>
      </c>
      <c r="H11" s="12" t="s">
        <v>459</v>
      </c>
      <c r="I11" s="11">
        <v>1000</v>
      </c>
      <c r="J11" s="10"/>
      <c r="K11" s="9"/>
      <c r="L11" s="8">
        <f t="shared" si="0"/>
        <v>-1000</v>
      </c>
    </row>
    <row r="12" spans="1:12" ht="162" customHeight="1" thickBot="1" x14ac:dyDescent="0.3">
      <c r="A12" s="47"/>
      <c r="B12" s="13" t="s">
        <v>32</v>
      </c>
      <c r="C12" s="12" t="s">
        <v>31</v>
      </c>
      <c r="D12" s="12" t="s">
        <v>24</v>
      </c>
      <c r="E12" s="13" t="s">
        <v>78</v>
      </c>
      <c r="F12" s="22" t="s">
        <v>380</v>
      </c>
      <c r="G12" s="13" t="s">
        <v>0</v>
      </c>
      <c r="H12" s="12" t="s">
        <v>459</v>
      </c>
      <c r="I12" s="11">
        <v>995</v>
      </c>
      <c r="J12" s="10"/>
      <c r="K12" s="9"/>
      <c r="L12" s="8">
        <f t="shared" si="0"/>
        <v>-995</v>
      </c>
    </row>
    <row r="13" spans="1:12" ht="162" customHeight="1" thickBot="1" x14ac:dyDescent="0.3">
      <c r="A13" s="48"/>
      <c r="B13" s="13" t="s">
        <v>32</v>
      </c>
      <c r="C13" s="12" t="s">
        <v>31</v>
      </c>
      <c r="D13" s="12" t="s">
        <v>24</v>
      </c>
      <c r="E13" s="13" t="s">
        <v>71</v>
      </c>
      <c r="F13" s="22" t="s">
        <v>380</v>
      </c>
      <c r="G13" s="13" t="s">
        <v>0</v>
      </c>
      <c r="H13" s="12" t="s">
        <v>459</v>
      </c>
      <c r="I13" s="11">
        <v>3120</v>
      </c>
      <c r="J13" s="10"/>
      <c r="K13" s="9"/>
      <c r="L13" s="8">
        <f t="shared" si="0"/>
        <v>-3120</v>
      </c>
    </row>
    <row r="14" spans="1:12" ht="162" customHeight="1" thickBot="1" x14ac:dyDescent="0.3">
      <c r="A14" s="46" t="s">
        <v>36</v>
      </c>
      <c r="B14" s="13" t="s">
        <v>28</v>
      </c>
      <c r="C14" s="12" t="s">
        <v>34</v>
      </c>
      <c r="D14" s="12" t="s">
        <v>24</v>
      </c>
      <c r="E14" s="13" t="s">
        <v>33</v>
      </c>
      <c r="F14" s="22" t="s">
        <v>4</v>
      </c>
      <c r="G14" s="13" t="s">
        <v>0</v>
      </c>
      <c r="H14" s="12" t="s">
        <v>437</v>
      </c>
      <c r="I14" s="11">
        <v>2850</v>
      </c>
      <c r="J14" s="10"/>
      <c r="K14" s="9"/>
      <c r="L14" s="8">
        <f t="shared" si="0"/>
        <v>-2850</v>
      </c>
    </row>
    <row r="15" spans="1:12" ht="162" customHeight="1" thickBot="1" x14ac:dyDescent="0.3">
      <c r="A15" s="47"/>
      <c r="B15" s="13" t="s">
        <v>28</v>
      </c>
      <c r="C15" s="12" t="s">
        <v>34</v>
      </c>
      <c r="D15" s="12" t="s">
        <v>24</v>
      </c>
      <c r="E15" s="13" t="s">
        <v>33</v>
      </c>
      <c r="F15" s="22" t="s">
        <v>4</v>
      </c>
      <c r="G15" s="13" t="s">
        <v>0</v>
      </c>
      <c r="H15" s="12" t="s">
        <v>459</v>
      </c>
      <c r="I15" s="11">
        <v>3000</v>
      </c>
      <c r="J15" s="10">
        <v>1000</v>
      </c>
      <c r="K15" s="9"/>
      <c r="L15" s="8">
        <f t="shared" si="0"/>
        <v>-2000</v>
      </c>
    </row>
    <row r="16" spans="1:12" ht="162" customHeight="1" thickBot="1" x14ac:dyDescent="0.3">
      <c r="A16" s="47"/>
      <c r="B16" s="13" t="s">
        <v>112</v>
      </c>
      <c r="C16" s="12" t="s">
        <v>34</v>
      </c>
      <c r="D16" s="12" t="s">
        <v>24</v>
      </c>
      <c r="E16" s="13" t="s">
        <v>33</v>
      </c>
      <c r="F16" s="22" t="s">
        <v>4</v>
      </c>
      <c r="G16" s="13" t="s">
        <v>0</v>
      </c>
      <c r="H16" s="12" t="s">
        <v>459</v>
      </c>
      <c r="I16" s="11">
        <v>3000</v>
      </c>
      <c r="J16" s="10"/>
      <c r="K16" s="9"/>
      <c r="L16" s="8">
        <f t="shared" si="0"/>
        <v>-3000</v>
      </c>
    </row>
    <row r="17" spans="1:12" ht="162" customHeight="1" thickBot="1" x14ac:dyDescent="0.3">
      <c r="A17" s="47"/>
      <c r="B17" s="13" t="s">
        <v>61</v>
      </c>
      <c r="C17" s="12" t="s">
        <v>31</v>
      </c>
      <c r="D17" s="12" t="s">
        <v>24</v>
      </c>
      <c r="E17" s="13" t="s">
        <v>78</v>
      </c>
      <c r="F17" s="22" t="s">
        <v>4</v>
      </c>
      <c r="G17" s="13" t="s">
        <v>0</v>
      </c>
      <c r="H17" s="12" t="s">
        <v>459</v>
      </c>
      <c r="I17" s="11">
        <v>995</v>
      </c>
      <c r="J17" s="10"/>
      <c r="K17" s="9"/>
      <c r="L17" s="8">
        <f t="shared" si="0"/>
        <v>-995</v>
      </c>
    </row>
    <row r="18" spans="1:12" ht="162" customHeight="1" thickBot="1" x14ac:dyDescent="0.3">
      <c r="A18" s="47"/>
      <c r="B18" s="13" t="s">
        <v>61</v>
      </c>
      <c r="C18" s="12" t="s">
        <v>31</v>
      </c>
      <c r="D18" s="12" t="s">
        <v>24</v>
      </c>
      <c r="E18" s="13" t="s">
        <v>71</v>
      </c>
      <c r="F18" s="22" t="s">
        <v>4</v>
      </c>
      <c r="G18" s="13" t="s">
        <v>0</v>
      </c>
      <c r="H18" s="12" t="s">
        <v>459</v>
      </c>
      <c r="I18" s="11">
        <v>1000</v>
      </c>
      <c r="J18" s="10"/>
      <c r="K18" s="9"/>
      <c r="L18" s="8">
        <f t="shared" si="0"/>
        <v>-1000</v>
      </c>
    </row>
    <row r="19" spans="1:12" ht="162" customHeight="1" thickBot="1" x14ac:dyDescent="0.3">
      <c r="A19" s="47"/>
      <c r="B19" s="13" t="s">
        <v>32</v>
      </c>
      <c r="C19" s="12" t="s">
        <v>31</v>
      </c>
      <c r="D19" s="12" t="s">
        <v>24</v>
      </c>
      <c r="E19" s="13" t="s">
        <v>71</v>
      </c>
      <c r="F19" s="22" t="s">
        <v>4</v>
      </c>
      <c r="G19" s="13" t="s">
        <v>0</v>
      </c>
      <c r="H19" s="12" t="s">
        <v>459</v>
      </c>
      <c r="I19" s="11">
        <v>1000</v>
      </c>
      <c r="J19" s="10"/>
      <c r="K19" s="9"/>
      <c r="L19" s="8">
        <f t="shared" si="0"/>
        <v>-1000</v>
      </c>
    </row>
    <row r="20" spans="1:12" ht="162" customHeight="1" thickBot="1" x14ac:dyDescent="0.3">
      <c r="A20" s="47"/>
      <c r="B20" s="13" t="s">
        <v>35</v>
      </c>
      <c r="C20" s="12" t="s">
        <v>27</v>
      </c>
      <c r="D20" s="12" t="s">
        <v>24</v>
      </c>
      <c r="E20" s="13" t="s">
        <v>197</v>
      </c>
      <c r="F20" s="22" t="s">
        <v>4</v>
      </c>
      <c r="G20" s="13" t="s">
        <v>0</v>
      </c>
      <c r="H20" s="12" t="s">
        <v>459</v>
      </c>
      <c r="I20" s="11">
        <v>3000</v>
      </c>
      <c r="J20" s="10">
        <v>1000</v>
      </c>
      <c r="K20" s="9"/>
      <c r="L20" s="8">
        <f t="shared" si="0"/>
        <v>-2000</v>
      </c>
    </row>
    <row r="21" spans="1:12" ht="162" customHeight="1" thickBot="1" x14ac:dyDescent="0.3">
      <c r="A21" s="47"/>
      <c r="B21" s="13" t="s">
        <v>284</v>
      </c>
      <c r="C21" s="12" t="s">
        <v>113</v>
      </c>
      <c r="D21" s="12" t="s">
        <v>24</v>
      </c>
      <c r="E21" s="13" t="s">
        <v>114</v>
      </c>
      <c r="F21" s="22" t="s">
        <v>4</v>
      </c>
      <c r="G21" s="13" t="s">
        <v>0</v>
      </c>
      <c r="H21" s="12" t="s">
        <v>459</v>
      </c>
      <c r="I21" s="11">
        <v>1500</v>
      </c>
      <c r="J21" s="10">
        <v>1000</v>
      </c>
      <c r="K21" s="9"/>
      <c r="L21" s="8">
        <f t="shared" si="0"/>
        <v>-500</v>
      </c>
    </row>
    <row r="22" spans="1:12" ht="162" customHeight="1" thickBot="1" x14ac:dyDescent="0.3">
      <c r="A22" s="47"/>
      <c r="B22" s="13" t="s">
        <v>284</v>
      </c>
      <c r="C22" s="12" t="s">
        <v>113</v>
      </c>
      <c r="D22" s="12" t="s">
        <v>24</v>
      </c>
      <c r="E22" s="13" t="s">
        <v>292</v>
      </c>
      <c r="F22" s="22" t="s">
        <v>4</v>
      </c>
      <c r="G22" s="13" t="s">
        <v>0</v>
      </c>
      <c r="H22" s="12" t="s">
        <v>459</v>
      </c>
      <c r="I22" s="11">
        <v>1500</v>
      </c>
      <c r="J22" s="10"/>
      <c r="K22" s="9"/>
      <c r="L22" s="8">
        <f t="shared" si="0"/>
        <v>-1500</v>
      </c>
    </row>
    <row r="23" spans="1:12" ht="162" customHeight="1" thickBot="1" x14ac:dyDescent="0.3">
      <c r="A23" s="47"/>
      <c r="B23" s="13" t="s">
        <v>95</v>
      </c>
      <c r="C23" s="12" t="s">
        <v>15</v>
      </c>
      <c r="D23" s="12" t="s">
        <v>24</v>
      </c>
      <c r="E23" s="13" t="s">
        <v>96</v>
      </c>
      <c r="F23" s="22" t="s">
        <v>4</v>
      </c>
      <c r="G23" s="13" t="s">
        <v>0</v>
      </c>
      <c r="H23" s="12" t="s">
        <v>459</v>
      </c>
      <c r="I23" s="11">
        <v>3000</v>
      </c>
      <c r="J23" s="10">
        <v>1000</v>
      </c>
      <c r="K23" s="9"/>
      <c r="L23" s="8">
        <f t="shared" si="0"/>
        <v>-2000</v>
      </c>
    </row>
    <row r="24" spans="1:12" ht="162" customHeight="1" thickBot="1" x14ac:dyDescent="0.3">
      <c r="A24" s="47"/>
      <c r="B24" s="13" t="s">
        <v>38</v>
      </c>
      <c r="C24" s="12" t="s">
        <v>27</v>
      </c>
      <c r="D24" s="12" t="s">
        <v>24</v>
      </c>
      <c r="E24" s="13" t="s">
        <v>197</v>
      </c>
      <c r="F24" s="22" t="s">
        <v>4</v>
      </c>
      <c r="G24" s="13" t="s">
        <v>0</v>
      </c>
      <c r="H24" s="12" t="s">
        <v>459</v>
      </c>
      <c r="I24" s="11">
        <v>2000</v>
      </c>
      <c r="J24" s="10"/>
      <c r="K24" s="9"/>
      <c r="L24" s="8">
        <f t="shared" si="0"/>
        <v>-2000</v>
      </c>
    </row>
    <row r="25" spans="1:12" ht="162" customHeight="1" thickBot="1" x14ac:dyDescent="0.3">
      <c r="A25" s="48"/>
      <c r="B25" s="13" t="s">
        <v>77</v>
      </c>
      <c r="C25" s="12" t="s">
        <v>27</v>
      </c>
      <c r="D25" s="12" t="s">
        <v>24</v>
      </c>
      <c r="E25" s="13" t="s">
        <v>197</v>
      </c>
      <c r="F25" s="22" t="s">
        <v>4</v>
      </c>
      <c r="G25" s="13" t="s">
        <v>0</v>
      </c>
      <c r="H25" s="12" t="s">
        <v>464</v>
      </c>
      <c r="I25" s="11">
        <v>3500</v>
      </c>
      <c r="J25" s="10"/>
      <c r="K25" s="9"/>
      <c r="L25" s="8">
        <f t="shared" si="0"/>
        <v>-3500</v>
      </c>
    </row>
    <row r="26" spans="1:12" ht="162" customHeight="1" thickBot="1" x14ac:dyDescent="0.3">
      <c r="A26" s="46" t="s">
        <v>23</v>
      </c>
      <c r="B26" s="13" t="s">
        <v>12</v>
      </c>
      <c r="C26" s="12" t="s">
        <v>6</v>
      </c>
      <c r="D26" s="12" t="s">
        <v>20</v>
      </c>
      <c r="E26" s="13" t="s">
        <v>22</v>
      </c>
      <c r="F26" s="22" t="s">
        <v>4</v>
      </c>
      <c r="G26" s="13" t="s">
        <v>0</v>
      </c>
      <c r="H26" s="12" t="s">
        <v>437</v>
      </c>
      <c r="I26" s="11">
        <v>1629</v>
      </c>
      <c r="J26" s="10"/>
      <c r="K26" s="9"/>
      <c r="L26" s="8">
        <f t="shared" si="0"/>
        <v>-1629</v>
      </c>
    </row>
    <row r="27" spans="1:12" ht="162" customHeight="1" thickBot="1" x14ac:dyDescent="0.3">
      <c r="A27" s="48"/>
      <c r="B27" s="13" t="s">
        <v>12</v>
      </c>
      <c r="C27" s="12" t="s">
        <v>6</v>
      </c>
      <c r="D27" s="12" t="s">
        <v>20</v>
      </c>
      <c r="E27" s="13" t="s">
        <v>22</v>
      </c>
      <c r="F27" s="22" t="s">
        <v>4</v>
      </c>
      <c r="G27" s="13" t="s">
        <v>0</v>
      </c>
      <c r="H27" s="12" t="s">
        <v>459</v>
      </c>
      <c r="I27" s="11">
        <v>4000</v>
      </c>
      <c r="J27" s="10">
        <v>2000</v>
      </c>
      <c r="K27" s="9"/>
      <c r="L27" s="8">
        <f t="shared" si="0"/>
        <v>-2000</v>
      </c>
    </row>
    <row r="28" spans="1:12" ht="162" customHeight="1" thickBot="1" x14ac:dyDescent="0.3">
      <c r="A28" s="46" t="s">
        <v>54</v>
      </c>
      <c r="B28" s="24" t="s">
        <v>104</v>
      </c>
      <c r="C28" s="12" t="s">
        <v>105</v>
      </c>
      <c r="D28" s="22" t="s">
        <v>60</v>
      </c>
      <c r="E28" s="13" t="s">
        <v>465</v>
      </c>
      <c r="F28" s="22" t="s">
        <v>64</v>
      </c>
      <c r="G28" s="13" t="s">
        <v>37</v>
      </c>
      <c r="H28" s="12" t="s">
        <v>459</v>
      </c>
      <c r="I28" s="11">
        <v>700</v>
      </c>
      <c r="J28" s="41"/>
      <c r="K28" s="9"/>
      <c r="L28" s="8">
        <f t="shared" si="0"/>
        <v>-700</v>
      </c>
    </row>
    <row r="29" spans="1:12" ht="162" customHeight="1" thickBot="1" x14ac:dyDescent="0.3">
      <c r="A29" s="47"/>
      <c r="B29" s="24" t="s">
        <v>104</v>
      </c>
      <c r="C29" s="12" t="s">
        <v>105</v>
      </c>
      <c r="D29" s="22" t="s">
        <v>60</v>
      </c>
      <c r="E29" s="13" t="s">
        <v>466</v>
      </c>
      <c r="F29" s="22" t="s">
        <v>64</v>
      </c>
      <c r="G29" s="13" t="s">
        <v>37</v>
      </c>
      <c r="H29" s="12" t="s">
        <v>459</v>
      </c>
      <c r="I29" s="11">
        <v>230</v>
      </c>
      <c r="J29" s="41"/>
      <c r="K29" s="9"/>
      <c r="L29" s="8">
        <f t="shared" si="0"/>
        <v>-230</v>
      </c>
    </row>
    <row r="30" spans="1:12" ht="162" customHeight="1" thickBot="1" x14ac:dyDescent="0.3">
      <c r="A30" s="48"/>
      <c r="B30" s="24" t="s">
        <v>104</v>
      </c>
      <c r="C30" s="12" t="s">
        <v>105</v>
      </c>
      <c r="D30" s="22" t="s">
        <v>60</v>
      </c>
      <c r="E30" s="13" t="s">
        <v>108</v>
      </c>
      <c r="F30" s="22" t="s">
        <v>64</v>
      </c>
      <c r="G30" s="13" t="s">
        <v>37</v>
      </c>
      <c r="H30" s="12" t="s">
        <v>459</v>
      </c>
      <c r="I30" s="11">
        <v>700</v>
      </c>
      <c r="J30" s="41"/>
      <c r="K30" s="9"/>
      <c r="L30" s="8">
        <f t="shared" si="0"/>
        <v>-700</v>
      </c>
    </row>
    <row r="31" spans="1:12" ht="162" customHeight="1" thickBot="1" x14ac:dyDescent="0.3">
      <c r="A31" s="46" t="s">
        <v>19</v>
      </c>
      <c r="B31" s="24" t="s">
        <v>18</v>
      </c>
      <c r="C31" s="12" t="s">
        <v>17</v>
      </c>
      <c r="D31" s="22" t="s">
        <v>14</v>
      </c>
      <c r="E31" s="13" t="s">
        <v>16</v>
      </c>
      <c r="F31" s="22" t="s">
        <v>380</v>
      </c>
      <c r="G31" s="13" t="s">
        <v>0</v>
      </c>
      <c r="H31" s="12" t="s">
        <v>459</v>
      </c>
      <c r="I31" s="11">
        <v>1500</v>
      </c>
      <c r="J31" s="41">
        <v>500</v>
      </c>
      <c r="K31" s="9"/>
      <c r="L31" s="8">
        <f t="shared" si="0"/>
        <v>-1000</v>
      </c>
    </row>
    <row r="32" spans="1:12" ht="162" customHeight="1" thickBot="1" x14ac:dyDescent="0.3">
      <c r="A32" s="47"/>
      <c r="B32" s="24" t="s">
        <v>7</v>
      </c>
      <c r="C32" s="12" t="s">
        <v>17</v>
      </c>
      <c r="D32" s="22" t="s">
        <v>120</v>
      </c>
      <c r="E32" s="13" t="s">
        <v>121</v>
      </c>
      <c r="F32" s="22" t="s">
        <v>122</v>
      </c>
      <c r="G32" s="13" t="s">
        <v>0</v>
      </c>
      <c r="H32" s="12" t="s">
        <v>463</v>
      </c>
      <c r="I32" s="11">
        <v>3000</v>
      </c>
      <c r="J32" s="41"/>
      <c r="K32" s="9"/>
      <c r="L32" s="8">
        <f t="shared" si="0"/>
        <v>-3000</v>
      </c>
    </row>
    <row r="33" spans="1:12" ht="162" customHeight="1" thickBot="1" x14ac:dyDescent="0.3">
      <c r="A33" s="47"/>
      <c r="B33" s="24" t="s">
        <v>7</v>
      </c>
      <c r="C33" s="12" t="s">
        <v>15</v>
      </c>
      <c r="D33" s="22" t="s">
        <v>14</v>
      </c>
      <c r="E33" s="13" t="s">
        <v>65</v>
      </c>
      <c r="F33" s="22" t="s">
        <v>4</v>
      </c>
      <c r="G33" s="13" t="s">
        <v>0</v>
      </c>
      <c r="H33" s="12" t="s">
        <v>459</v>
      </c>
      <c r="I33" s="11">
        <v>1190</v>
      </c>
      <c r="J33" s="41">
        <v>500</v>
      </c>
      <c r="K33" s="9"/>
      <c r="L33" s="8">
        <f t="shared" si="0"/>
        <v>-690</v>
      </c>
    </row>
    <row r="34" spans="1:12" ht="162" customHeight="1" thickBot="1" x14ac:dyDescent="0.3">
      <c r="A34" s="47"/>
      <c r="B34" s="24" t="s">
        <v>7</v>
      </c>
      <c r="C34" s="12" t="s">
        <v>15</v>
      </c>
      <c r="D34" s="22" t="s">
        <v>14</v>
      </c>
      <c r="E34" s="13" t="s">
        <v>13</v>
      </c>
      <c r="F34" s="22" t="s">
        <v>4</v>
      </c>
      <c r="G34" s="13" t="s">
        <v>0</v>
      </c>
      <c r="H34" s="12" t="s">
        <v>459</v>
      </c>
      <c r="I34" s="11">
        <v>2000</v>
      </c>
      <c r="J34" s="41">
        <v>500</v>
      </c>
      <c r="K34" s="9"/>
      <c r="L34" s="8">
        <f t="shared" si="0"/>
        <v>-1500</v>
      </c>
    </row>
    <row r="35" spans="1:12" ht="162" customHeight="1" thickBot="1" x14ac:dyDescent="0.3">
      <c r="A35" s="47"/>
      <c r="B35" s="24" t="s">
        <v>12</v>
      </c>
      <c r="C35" s="12" t="s">
        <v>3</v>
      </c>
      <c r="D35" s="22" t="s">
        <v>11</v>
      </c>
      <c r="E35" s="13" t="s">
        <v>10</v>
      </c>
      <c r="F35" s="22" t="s">
        <v>4</v>
      </c>
      <c r="G35" s="13" t="s">
        <v>0</v>
      </c>
      <c r="H35" s="12" t="s">
        <v>459</v>
      </c>
      <c r="I35" s="11">
        <v>2998</v>
      </c>
      <c r="J35" s="41">
        <v>1000</v>
      </c>
      <c r="K35" s="9"/>
      <c r="L35" s="8">
        <f t="shared" si="0"/>
        <v>-1998</v>
      </c>
    </row>
    <row r="36" spans="1:12" ht="162" customHeight="1" thickBot="1" x14ac:dyDescent="0.3">
      <c r="A36" s="47"/>
      <c r="B36" s="24" t="s">
        <v>7</v>
      </c>
      <c r="C36" s="12" t="s">
        <v>6</v>
      </c>
      <c r="D36" s="22" t="s">
        <v>1</v>
      </c>
      <c r="E36" s="13" t="s">
        <v>5</v>
      </c>
      <c r="F36" s="22" t="s">
        <v>4</v>
      </c>
      <c r="G36" s="13" t="s">
        <v>0</v>
      </c>
      <c r="H36" s="12" t="s">
        <v>459</v>
      </c>
      <c r="I36" s="11">
        <v>6000</v>
      </c>
      <c r="J36" s="41">
        <v>1000</v>
      </c>
      <c r="K36" s="9"/>
      <c r="L36" s="8">
        <f t="shared" si="0"/>
        <v>-5000</v>
      </c>
    </row>
    <row r="37" spans="1:12" ht="162" customHeight="1" thickBot="1" x14ac:dyDescent="0.3">
      <c r="A37" s="48"/>
      <c r="B37" s="24" t="s">
        <v>194</v>
      </c>
      <c r="C37" s="12" t="s">
        <v>3</v>
      </c>
      <c r="D37" s="22" t="s">
        <v>1</v>
      </c>
      <c r="E37" s="13" t="s">
        <v>195</v>
      </c>
      <c r="F37" s="22" t="s">
        <v>122</v>
      </c>
      <c r="G37" s="13" t="s">
        <v>0</v>
      </c>
      <c r="H37" s="12" t="s">
        <v>463</v>
      </c>
      <c r="I37" s="11">
        <v>2000</v>
      </c>
      <c r="J37" s="41">
        <v>1000</v>
      </c>
      <c r="K37" s="9"/>
      <c r="L37" s="8">
        <f t="shared" si="0"/>
        <v>-1000</v>
      </c>
    </row>
  </sheetData>
  <autoFilter ref="A2:L37"/>
  <dataConsolidate/>
  <mergeCells count="6">
    <mergeCell ref="A31:A37"/>
    <mergeCell ref="A1:L1"/>
    <mergeCell ref="A3:A13"/>
    <mergeCell ref="A14:A25"/>
    <mergeCell ref="A26:A27"/>
    <mergeCell ref="A28:A30"/>
  </mergeCells>
  <conditionalFormatting sqref="I2:I37 K3:L37">
    <cfRule type="cellIs" dxfId="13" priority="2" operator="lessThan">
      <formula>0</formula>
    </cfRule>
  </conditionalFormatting>
  <conditionalFormatting sqref="L2">
    <cfRule type="cellIs" dxfId="12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42"/>
  <sheetViews>
    <sheetView showGridLines="0" view="pageBreakPreview" zoomScale="20" zoomScaleNormal="15" zoomScaleSheetLayoutView="20" workbookViewId="0">
      <selection activeCell="K33" activeCellId="1" sqref="E33:E41 K33:K41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471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40</v>
      </c>
      <c r="C3" s="12" t="s">
        <v>125</v>
      </c>
      <c r="D3" s="12" t="s">
        <v>126</v>
      </c>
      <c r="E3" s="13" t="s">
        <v>127</v>
      </c>
      <c r="F3" s="22" t="s">
        <v>122</v>
      </c>
      <c r="G3" s="13" t="s">
        <v>0</v>
      </c>
      <c r="H3" s="12" t="s">
        <v>459</v>
      </c>
      <c r="I3" s="11">
        <v>1000</v>
      </c>
      <c r="J3" s="10">
        <v>1000</v>
      </c>
      <c r="K3" s="9"/>
      <c r="L3" s="8">
        <f t="shared" ref="L3:L41" si="0">K3+J3-I3</f>
        <v>0</v>
      </c>
    </row>
    <row r="4" spans="1:12" ht="162" customHeight="1" thickBot="1" x14ac:dyDescent="0.3">
      <c r="A4" s="47"/>
      <c r="B4" s="13" t="s">
        <v>136</v>
      </c>
      <c r="C4" s="12" t="s">
        <v>6</v>
      </c>
      <c r="D4" s="12" t="s">
        <v>126</v>
      </c>
      <c r="E4" s="23" t="s">
        <v>137</v>
      </c>
      <c r="F4" s="22" t="s">
        <v>122</v>
      </c>
      <c r="G4" s="13" t="s">
        <v>0</v>
      </c>
      <c r="H4" s="12" t="s">
        <v>463</v>
      </c>
      <c r="I4" s="11">
        <v>1600</v>
      </c>
      <c r="J4" s="10"/>
      <c r="K4" s="9">
        <v>1600</v>
      </c>
      <c r="L4" s="8">
        <f t="shared" si="0"/>
        <v>0</v>
      </c>
    </row>
    <row r="5" spans="1:12" ht="162" customHeight="1" thickBot="1" x14ac:dyDescent="0.3">
      <c r="A5" s="47"/>
      <c r="B5" s="13" t="s">
        <v>136</v>
      </c>
      <c r="C5" s="12" t="s">
        <v>235</v>
      </c>
      <c r="D5" s="12" t="s">
        <v>126</v>
      </c>
      <c r="E5" s="13" t="s">
        <v>385</v>
      </c>
      <c r="F5" s="22" t="s">
        <v>122</v>
      </c>
      <c r="G5" s="13" t="s">
        <v>0</v>
      </c>
      <c r="H5" s="12" t="s">
        <v>459</v>
      </c>
      <c r="I5" s="11">
        <v>2500</v>
      </c>
      <c r="J5" s="10">
        <v>1000</v>
      </c>
      <c r="K5" s="9">
        <v>1500</v>
      </c>
      <c r="L5" s="8">
        <f t="shared" si="0"/>
        <v>0</v>
      </c>
    </row>
    <row r="6" spans="1:12" ht="162" customHeight="1" thickBot="1" x14ac:dyDescent="0.3">
      <c r="A6" s="47"/>
      <c r="B6" s="13" t="s">
        <v>136</v>
      </c>
      <c r="C6" s="12" t="s">
        <v>3</v>
      </c>
      <c r="D6" s="12" t="s">
        <v>126</v>
      </c>
      <c r="E6" s="13" t="s">
        <v>392</v>
      </c>
      <c r="F6" s="22" t="s">
        <v>122</v>
      </c>
      <c r="G6" s="13" t="s">
        <v>0</v>
      </c>
      <c r="H6" s="12" t="s">
        <v>459</v>
      </c>
      <c r="I6" s="11">
        <v>1000</v>
      </c>
      <c r="J6" s="10"/>
      <c r="K6" s="9">
        <v>1000</v>
      </c>
      <c r="L6" s="8">
        <f t="shared" si="0"/>
        <v>0</v>
      </c>
    </row>
    <row r="7" spans="1:12" ht="162" customHeight="1" thickBot="1" x14ac:dyDescent="0.3">
      <c r="A7" s="47"/>
      <c r="B7" s="13" t="s">
        <v>136</v>
      </c>
      <c r="C7" s="12" t="s">
        <v>3</v>
      </c>
      <c r="D7" s="12" t="s">
        <v>126</v>
      </c>
      <c r="E7" s="13" t="s">
        <v>422</v>
      </c>
      <c r="F7" s="22" t="s">
        <v>122</v>
      </c>
      <c r="G7" s="13" t="s">
        <v>0</v>
      </c>
      <c r="H7" s="12" t="s">
        <v>463</v>
      </c>
      <c r="I7" s="11">
        <v>1000</v>
      </c>
      <c r="J7" s="10"/>
      <c r="K7" s="9">
        <v>1000</v>
      </c>
      <c r="L7" s="8">
        <f t="shared" si="0"/>
        <v>0</v>
      </c>
    </row>
    <row r="8" spans="1:12" ht="162" customHeight="1" thickBot="1" x14ac:dyDescent="0.3">
      <c r="A8" s="47"/>
      <c r="B8" s="13" t="s">
        <v>136</v>
      </c>
      <c r="C8" s="12" t="s">
        <v>3</v>
      </c>
      <c r="D8" s="12" t="s">
        <v>126</v>
      </c>
      <c r="E8" s="13" t="s">
        <v>392</v>
      </c>
      <c r="F8" s="22" t="s">
        <v>122</v>
      </c>
      <c r="G8" s="13" t="s">
        <v>0</v>
      </c>
      <c r="H8" s="12" t="s">
        <v>463</v>
      </c>
      <c r="I8" s="11">
        <v>2000</v>
      </c>
      <c r="J8" s="10">
        <v>1000</v>
      </c>
      <c r="K8" s="9">
        <v>1000</v>
      </c>
      <c r="L8" s="8">
        <f t="shared" si="0"/>
        <v>0</v>
      </c>
    </row>
    <row r="9" spans="1:12" ht="162" customHeight="1" thickBot="1" x14ac:dyDescent="0.3">
      <c r="A9" s="47"/>
      <c r="B9" s="13" t="s">
        <v>28</v>
      </c>
      <c r="C9" s="12" t="s">
        <v>34</v>
      </c>
      <c r="D9" s="12" t="s">
        <v>24</v>
      </c>
      <c r="E9" s="23" t="s">
        <v>33</v>
      </c>
      <c r="F9" s="22" t="s">
        <v>4</v>
      </c>
      <c r="G9" s="13" t="s">
        <v>0</v>
      </c>
      <c r="H9" s="12" t="s">
        <v>459</v>
      </c>
      <c r="I9" s="11">
        <v>3006</v>
      </c>
      <c r="J9" s="10"/>
      <c r="K9" s="9">
        <v>3006</v>
      </c>
      <c r="L9" s="8">
        <f t="shared" si="0"/>
        <v>0</v>
      </c>
    </row>
    <row r="10" spans="1:12" ht="162" customHeight="1" thickBot="1" x14ac:dyDescent="0.3">
      <c r="A10" s="47"/>
      <c r="B10" s="13" t="s">
        <v>28</v>
      </c>
      <c r="C10" s="12" t="s">
        <v>34</v>
      </c>
      <c r="D10" s="12" t="s">
        <v>24</v>
      </c>
      <c r="E10" s="13" t="s">
        <v>33</v>
      </c>
      <c r="F10" s="22" t="s">
        <v>4</v>
      </c>
      <c r="G10" s="13" t="s">
        <v>0</v>
      </c>
      <c r="H10" s="12" t="s">
        <v>459</v>
      </c>
      <c r="I10" s="11">
        <v>5000</v>
      </c>
      <c r="J10" s="10">
        <v>1500</v>
      </c>
      <c r="K10" s="9">
        <f>1500+2000</f>
        <v>3500</v>
      </c>
      <c r="L10" s="8">
        <f t="shared" si="0"/>
        <v>0</v>
      </c>
    </row>
    <row r="11" spans="1:12" ht="162" customHeight="1" thickBot="1" x14ac:dyDescent="0.3">
      <c r="A11" s="47"/>
      <c r="B11" s="13" t="s">
        <v>325</v>
      </c>
      <c r="C11" s="12" t="s">
        <v>472</v>
      </c>
      <c r="D11" s="12" t="s">
        <v>24</v>
      </c>
      <c r="E11" s="13" t="s">
        <v>473</v>
      </c>
      <c r="F11" s="22" t="s">
        <v>4</v>
      </c>
      <c r="G11" s="13" t="s">
        <v>37</v>
      </c>
      <c r="H11" s="12" t="s">
        <v>459</v>
      </c>
      <c r="I11" s="11">
        <v>1500</v>
      </c>
      <c r="J11" s="10">
        <v>500</v>
      </c>
      <c r="K11" s="9">
        <v>1000</v>
      </c>
      <c r="L11" s="8">
        <f t="shared" si="0"/>
        <v>0</v>
      </c>
    </row>
    <row r="12" spans="1:12" ht="162" customHeight="1" thickBot="1" x14ac:dyDescent="0.3">
      <c r="A12" s="47"/>
      <c r="B12" s="13" t="s">
        <v>325</v>
      </c>
      <c r="C12" s="12" t="s">
        <v>472</v>
      </c>
      <c r="D12" s="12" t="s">
        <v>24</v>
      </c>
      <c r="E12" s="13" t="s">
        <v>474</v>
      </c>
      <c r="F12" s="22" t="s">
        <v>4</v>
      </c>
      <c r="G12" s="13" t="s">
        <v>37</v>
      </c>
      <c r="H12" s="12" t="s">
        <v>459</v>
      </c>
      <c r="I12" s="11">
        <v>1000</v>
      </c>
      <c r="J12" s="10"/>
      <c r="K12" s="9">
        <v>1000</v>
      </c>
      <c r="L12" s="8">
        <f t="shared" si="0"/>
        <v>0</v>
      </c>
    </row>
    <row r="13" spans="1:12" ht="162" customHeight="1" thickBot="1" x14ac:dyDescent="0.3">
      <c r="A13" s="47"/>
      <c r="B13" s="13" t="s">
        <v>38</v>
      </c>
      <c r="C13" s="12" t="s">
        <v>27</v>
      </c>
      <c r="D13" s="12" t="s">
        <v>24</v>
      </c>
      <c r="E13" s="13" t="s">
        <v>197</v>
      </c>
      <c r="F13" s="22" t="s">
        <v>4</v>
      </c>
      <c r="G13" s="13" t="s">
        <v>0</v>
      </c>
      <c r="H13" s="12" t="s">
        <v>459</v>
      </c>
      <c r="I13" s="11">
        <v>7994</v>
      </c>
      <c r="J13" s="10">
        <v>1000</v>
      </c>
      <c r="K13" s="9">
        <f>6000+994</f>
        <v>6994</v>
      </c>
      <c r="L13" s="8">
        <f t="shared" si="0"/>
        <v>0</v>
      </c>
    </row>
    <row r="14" spans="1:12" ht="162" customHeight="1" thickBot="1" x14ac:dyDescent="0.3">
      <c r="A14" s="47"/>
      <c r="B14" s="13" t="s">
        <v>371</v>
      </c>
      <c r="C14" s="12" t="s">
        <v>113</v>
      </c>
      <c r="D14" s="12" t="s">
        <v>24</v>
      </c>
      <c r="E14" s="13" t="s">
        <v>114</v>
      </c>
      <c r="F14" s="22" t="s">
        <v>4</v>
      </c>
      <c r="G14" s="13" t="s">
        <v>0</v>
      </c>
      <c r="H14" s="12" t="s">
        <v>459</v>
      </c>
      <c r="I14" s="11">
        <v>1563</v>
      </c>
      <c r="J14" s="10">
        <v>1000</v>
      </c>
      <c r="K14" s="9">
        <v>563</v>
      </c>
      <c r="L14" s="8">
        <f t="shared" si="0"/>
        <v>0</v>
      </c>
    </row>
    <row r="15" spans="1:12" ht="162" customHeight="1" thickBot="1" x14ac:dyDescent="0.3">
      <c r="A15" s="47"/>
      <c r="B15" s="13" t="s">
        <v>371</v>
      </c>
      <c r="C15" s="12" t="s">
        <v>113</v>
      </c>
      <c r="D15" s="12" t="s">
        <v>24</v>
      </c>
      <c r="E15" s="23" t="s">
        <v>475</v>
      </c>
      <c r="F15" s="22" t="s">
        <v>131</v>
      </c>
      <c r="G15" s="13" t="s">
        <v>37</v>
      </c>
      <c r="H15" s="12" t="s">
        <v>459</v>
      </c>
      <c r="I15" s="11">
        <v>81</v>
      </c>
      <c r="J15" s="10"/>
      <c r="K15" s="9">
        <v>81</v>
      </c>
      <c r="L15" s="8">
        <f t="shared" si="0"/>
        <v>0</v>
      </c>
    </row>
    <row r="16" spans="1:12" ht="162" customHeight="1" thickBot="1" x14ac:dyDescent="0.3">
      <c r="A16" s="47"/>
      <c r="B16" s="13" t="s">
        <v>32</v>
      </c>
      <c r="C16" s="12" t="s">
        <v>31</v>
      </c>
      <c r="D16" s="12" t="s">
        <v>24</v>
      </c>
      <c r="E16" s="13" t="s">
        <v>80</v>
      </c>
      <c r="F16" s="22" t="s">
        <v>9</v>
      </c>
      <c r="G16" s="13" t="s">
        <v>0</v>
      </c>
      <c r="H16" s="12" t="s">
        <v>463</v>
      </c>
      <c r="I16" s="11">
        <v>3000</v>
      </c>
      <c r="J16" s="10">
        <v>1000</v>
      </c>
      <c r="K16" s="9">
        <v>2000</v>
      </c>
      <c r="L16" s="8">
        <f t="shared" si="0"/>
        <v>0</v>
      </c>
    </row>
    <row r="17" spans="1:12" ht="162" customHeight="1" thickBot="1" x14ac:dyDescent="0.3">
      <c r="A17" s="47" t="s">
        <v>36</v>
      </c>
      <c r="B17" s="13" t="s">
        <v>239</v>
      </c>
      <c r="C17" s="12" t="s">
        <v>163</v>
      </c>
      <c r="D17" s="12" t="s">
        <v>24</v>
      </c>
      <c r="E17" s="13" t="s">
        <v>252</v>
      </c>
      <c r="F17" s="22" t="s">
        <v>102</v>
      </c>
      <c r="G17" s="13" t="s">
        <v>37</v>
      </c>
      <c r="H17" s="12" t="s">
        <v>459</v>
      </c>
      <c r="I17" s="11">
        <v>1500</v>
      </c>
      <c r="J17" s="10"/>
      <c r="K17" s="9">
        <v>1500</v>
      </c>
      <c r="L17" s="8">
        <f t="shared" si="0"/>
        <v>0</v>
      </c>
    </row>
    <row r="18" spans="1:12" ht="162" customHeight="1" thickBot="1" x14ac:dyDescent="0.3">
      <c r="A18" s="47"/>
      <c r="B18" s="13" t="s">
        <v>28</v>
      </c>
      <c r="C18" s="12" t="s">
        <v>34</v>
      </c>
      <c r="D18" s="12" t="s">
        <v>24</v>
      </c>
      <c r="E18" s="13" t="s">
        <v>33</v>
      </c>
      <c r="F18" s="22" t="s">
        <v>4</v>
      </c>
      <c r="G18" s="13" t="s">
        <v>0</v>
      </c>
      <c r="H18" s="12" t="s">
        <v>459</v>
      </c>
      <c r="I18" s="11">
        <v>3000</v>
      </c>
      <c r="J18" s="10"/>
      <c r="K18" s="9">
        <v>3000</v>
      </c>
      <c r="L18" s="8">
        <f t="shared" si="0"/>
        <v>0</v>
      </c>
    </row>
    <row r="19" spans="1:12" ht="162" customHeight="1" thickBot="1" x14ac:dyDescent="0.3">
      <c r="A19" s="47"/>
      <c r="B19" s="13" t="s">
        <v>28</v>
      </c>
      <c r="C19" s="12" t="s">
        <v>34</v>
      </c>
      <c r="D19" s="12" t="s">
        <v>24</v>
      </c>
      <c r="E19" s="13" t="s">
        <v>33</v>
      </c>
      <c r="F19" s="22" t="s">
        <v>4</v>
      </c>
      <c r="G19" s="13" t="s">
        <v>0</v>
      </c>
      <c r="H19" s="12" t="s">
        <v>459</v>
      </c>
      <c r="I19" s="11">
        <v>2000</v>
      </c>
      <c r="J19" s="10">
        <v>2000</v>
      </c>
      <c r="K19" s="9"/>
      <c r="L19" s="8">
        <f t="shared" si="0"/>
        <v>0</v>
      </c>
    </row>
    <row r="20" spans="1:12" ht="162" customHeight="1" thickBot="1" x14ac:dyDescent="0.3">
      <c r="A20" s="47"/>
      <c r="B20" s="13" t="s">
        <v>112</v>
      </c>
      <c r="C20" s="12" t="s">
        <v>34</v>
      </c>
      <c r="D20" s="12" t="s">
        <v>24</v>
      </c>
      <c r="E20" s="23" t="s">
        <v>33</v>
      </c>
      <c r="F20" s="22" t="s">
        <v>4</v>
      </c>
      <c r="G20" s="13" t="s">
        <v>0</v>
      </c>
      <c r="H20" s="12" t="s">
        <v>459</v>
      </c>
      <c r="I20" s="11">
        <v>2006</v>
      </c>
      <c r="J20" s="10"/>
      <c r="K20" s="9">
        <v>2006</v>
      </c>
      <c r="L20" s="8">
        <f t="shared" si="0"/>
        <v>0</v>
      </c>
    </row>
    <row r="21" spans="1:12" ht="162" customHeight="1" thickBot="1" x14ac:dyDescent="0.3">
      <c r="A21" s="47"/>
      <c r="B21" s="13" t="s">
        <v>61</v>
      </c>
      <c r="C21" s="12" t="s">
        <v>31</v>
      </c>
      <c r="D21" s="12" t="s">
        <v>24</v>
      </c>
      <c r="E21" s="13" t="s">
        <v>80</v>
      </c>
      <c r="F21" s="22" t="s">
        <v>9</v>
      </c>
      <c r="G21" s="13" t="s">
        <v>0</v>
      </c>
      <c r="H21" s="12" t="s">
        <v>459</v>
      </c>
      <c r="I21" s="11">
        <v>1000</v>
      </c>
      <c r="J21" s="10">
        <v>1000</v>
      </c>
      <c r="K21" s="9"/>
      <c r="L21" s="8">
        <f t="shared" si="0"/>
        <v>0</v>
      </c>
    </row>
    <row r="22" spans="1:12" ht="162" customHeight="1" thickBot="1" x14ac:dyDescent="0.3">
      <c r="A22" s="47"/>
      <c r="B22" s="13" t="s">
        <v>32</v>
      </c>
      <c r="C22" s="12" t="s">
        <v>31</v>
      </c>
      <c r="D22" s="12" t="s">
        <v>24</v>
      </c>
      <c r="E22" s="13" t="s">
        <v>116</v>
      </c>
      <c r="F22" s="22" t="s">
        <v>9</v>
      </c>
      <c r="G22" s="13" t="s">
        <v>0</v>
      </c>
      <c r="H22" s="12" t="s">
        <v>459</v>
      </c>
      <c r="I22" s="11">
        <v>1500</v>
      </c>
      <c r="J22" s="10"/>
      <c r="K22" s="9">
        <v>1500</v>
      </c>
      <c r="L22" s="8">
        <f t="shared" si="0"/>
        <v>0</v>
      </c>
    </row>
    <row r="23" spans="1:12" ht="162" customHeight="1" thickBot="1" x14ac:dyDescent="0.3">
      <c r="A23" s="47"/>
      <c r="B23" s="13" t="s">
        <v>40</v>
      </c>
      <c r="C23" s="12" t="s">
        <v>27</v>
      </c>
      <c r="D23" s="12" t="s">
        <v>24</v>
      </c>
      <c r="E23" s="23" t="s">
        <v>197</v>
      </c>
      <c r="F23" s="22" t="s">
        <v>4</v>
      </c>
      <c r="G23" s="13" t="s">
        <v>0</v>
      </c>
      <c r="H23" s="12" t="s">
        <v>459</v>
      </c>
      <c r="I23" s="11">
        <v>2994</v>
      </c>
      <c r="J23" s="10"/>
      <c r="K23" s="9">
        <v>2994</v>
      </c>
      <c r="L23" s="8">
        <f t="shared" si="0"/>
        <v>0</v>
      </c>
    </row>
    <row r="24" spans="1:12" ht="162" customHeight="1" thickBot="1" x14ac:dyDescent="0.3">
      <c r="A24" s="47"/>
      <c r="B24" s="13" t="s">
        <v>284</v>
      </c>
      <c r="C24" s="12" t="s">
        <v>113</v>
      </c>
      <c r="D24" s="12" t="s">
        <v>24</v>
      </c>
      <c r="E24" s="13" t="s">
        <v>114</v>
      </c>
      <c r="F24" s="22" t="s">
        <v>4</v>
      </c>
      <c r="G24" s="13" t="s">
        <v>0</v>
      </c>
      <c r="H24" s="12" t="s">
        <v>459</v>
      </c>
      <c r="I24" s="11">
        <v>2563</v>
      </c>
      <c r="J24" s="10">
        <v>1000</v>
      </c>
      <c r="K24" s="9">
        <v>1563</v>
      </c>
      <c r="L24" s="8">
        <f t="shared" si="0"/>
        <v>0</v>
      </c>
    </row>
    <row r="25" spans="1:12" ht="162" customHeight="1" thickBot="1" x14ac:dyDescent="0.3">
      <c r="A25" s="47"/>
      <c r="B25" s="13" t="s">
        <v>95</v>
      </c>
      <c r="C25" s="12" t="s">
        <v>15</v>
      </c>
      <c r="D25" s="12" t="s">
        <v>24</v>
      </c>
      <c r="E25" s="13" t="s">
        <v>96</v>
      </c>
      <c r="F25" s="22" t="s">
        <v>4</v>
      </c>
      <c r="G25" s="13" t="s">
        <v>0</v>
      </c>
      <c r="H25" s="12" t="s">
        <v>459</v>
      </c>
      <c r="I25" s="11">
        <v>2262</v>
      </c>
      <c r="J25" s="10">
        <v>1000</v>
      </c>
      <c r="K25" s="9">
        <v>1262</v>
      </c>
      <c r="L25" s="8">
        <f t="shared" si="0"/>
        <v>0</v>
      </c>
    </row>
    <row r="26" spans="1:12" ht="162" customHeight="1" thickBot="1" x14ac:dyDescent="0.3">
      <c r="A26" s="47"/>
      <c r="B26" s="13" t="s">
        <v>38</v>
      </c>
      <c r="C26" s="12" t="s">
        <v>27</v>
      </c>
      <c r="D26" s="12" t="s">
        <v>24</v>
      </c>
      <c r="E26" s="13" t="s">
        <v>197</v>
      </c>
      <c r="F26" s="22" t="s">
        <v>4</v>
      </c>
      <c r="G26" s="13" t="s">
        <v>0</v>
      </c>
      <c r="H26" s="12" t="s">
        <v>459</v>
      </c>
      <c r="I26" s="11">
        <v>3000</v>
      </c>
      <c r="J26" s="10">
        <v>1500</v>
      </c>
      <c r="K26" s="9">
        <v>1500</v>
      </c>
      <c r="L26" s="8">
        <f t="shared" si="0"/>
        <v>0</v>
      </c>
    </row>
    <row r="27" spans="1:12" ht="162" customHeight="1" thickBot="1" x14ac:dyDescent="0.3">
      <c r="A27" s="48"/>
      <c r="B27" s="13" t="s">
        <v>77</v>
      </c>
      <c r="C27" s="12" t="s">
        <v>27</v>
      </c>
      <c r="D27" s="12" t="s">
        <v>24</v>
      </c>
      <c r="E27" s="13" t="s">
        <v>197</v>
      </c>
      <c r="F27" s="22" t="s">
        <v>4</v>
      </c>
      <c r="G27" s="13" t="s">
        <v>0</v>
      </c>
      <c r="H27" s="12" t="s">
        <v>459</v>
      </c>
      <c r="I27" s="11">
        <v>2000</v>
      </c>
      <c r="J27" s="10"/>
      <c r="K27" s="9">
        <v>2000</v>
      </c>
      <c r="L27" s="8">
        <f t="shared" si="0"/>
        <v>0</v>
      </c>
    </row>
    <row r="28" spans="1:12" ht="162" customHeight="1" thickBot="1" x14ac:dyDescent="0.3">
      <c r="A28" s="50" t="s">
        <v>23</v>
      </c>
      <c r="B28" s="24" t="s">
        <v>223</v>
      </c>
      <c r="C28" s="12" t="s">
        <v>17</v>
      </c>
      <c r="D28" s="22" t="s">
        <v>311</v>
      </c>
      <c r="E28" s="13" t="s">
        <v>312</v>
      </c>
      <c r="F28" s="22" t="s">
        <v>122</v>
      </c>
      <c r="G28" s="13" t="s">
        <v>0</v>
      </c>
      <c r="H28" s="12" t="s">
        <v>459</v>
      </c>
      <c r="I28" s="11">
        <v>3000</v>
      </c>
      <c r="J28" s="41">
        <v>1000</v>
      </c>
      <c r="K28" s="9">
        <v>2000</v>
      </c>
      <c r="L28" s="8">
        <f t="shared" si="0"/>
        <v>0</v>
      </c>
    </row>
    <row r="29" spans="1:12" ht="162" customHeight="1" thickBot="1" x14ac:dyDescent="0.3">
      <c r="A29" s="50"/>
      <c r="B29" s="24" t="s">
        <v>223</v>
      </c>
      <c r="C29" s="12" t="s">
        <v>17</v>
      </c>
      <c r="D29" s="22" t="s">
        <v>311</v>
      </c>
      <c r="E29" s="23" t="s">
        <v>312</v>
      </c>
      <c r="F29" s="22" t="s">
        <v>122</v>
      </c>
      <c r="G29" s="13" t="s">
        <v>0</v>
      </c>
      <c r="H29" s="12" t="s">
        <v>459</v>
      </c>
      <c r="I29" s="11">
        <v>2000</v>
      </c>
      <c r="J29" s="41"/>
      <c r="K29" s="9">
        <v>2000</v>
      </c>
      <c r="L29" s="8">
        <f t="shared" si="0"/>
        <v>0</v>
      </c>
    </row>
    <row r="30" spans="1:12" ht="162" customHeight="1" thickBot="1" x14ac:dyDescent="0.3">
      <c r="A30" s="50"/>
      <c r="B30" s="24" t="s">
        <v>12</v>
      </c>
      <c r="C30" s="12" t="s">
        <v>6</v>
      </c>
      <c r="D30" s="22" t="s">
        <v>20</v>
      </c>
      <c r="E30" s="13" t="s">
        <v>22</v>
      </c>
      <c r="F30" s="22" t="s">
        <v>4</v>
      </c>
      <c r="G30" s="13" t="s">
        <v>0</v>
      </c>
      <c r="H30" s="12" t="s">
        <v>459</v>
      </c>
      <c r="I30" s="11">
        <v>3000</v>
      </c>
      <c r="J30" s="41">
        <v>1000</v>
      </c>
      <c r="K30" s="9">
        <v>2000</v>
      </c>
      <c r="L30" s="8">
        <f t="shared" si="0"/>
        <v>0</v>
      </c>
    </row>
    <row r="31" spans="1:12" ht="162" customHeight="1" thickBot="1" x14ac:dyDescent="0.3">
      <c r="A31" s="50"/>
      <c r="B31" s="24" t="s">
        <v>12</v>
      </c>
      <c r="C31" s="12" t="s">
        <v>6</v>
      </c>
      <c r="D31" s="22" t="s">
        <v>20</v>
      </c>
      <c r="E31" s="23" t="s">
        <v>22</v>
      </c>
      <c r="F31" s="22" t="s">
        <v>4</v>
      </c>
      <c r="G31" s="13" t="s">
        <v>0</v>
      </c>
      <c r="H31" s="12" t="s">
        <v>459</v>
      </c>
      <c r="I31" s="11">
        <v>2000</v>
      </c>
      <c r="J31" s="41"/>
      <c r="K31" s="9">
        <v>2000</v>
      </c>
      <c r="L31" s="8">
        <f t="shared" si="0"/>
        <v>0</v>
      </c>
    </row>
    <row r="32" spans="1:12" ht="162" customHeight="1" thickBot="1" x14ac:dyDescent="0.3">
      <c r="A32" s="43" t="s">
        <v>54</v>
      </c>
      <c r="B32" s="24" t="s">
        <v>172</v>
      </c>
      <c r="C32" s="12" t="s">
        <v>173</v>
      </c>
      <c r="D32" s="22" t="s">
        <v>174</v>
      </c>
      <c r="E32" s="13" t="s">
        <v>176</v>
      </c>
      <c r="F32" s="22" t="s">
        <v>4</v>
      </c>
      <c r="G32" s="13" t="s">
        <v>8</v>
      </c>
      <c r="H32" s="12" t="s">
        <v>459</v>
      </c>
      <c r="I32" s="11">
        <v>95</v>
      </c>
      <c r="J32" s="41">
        <v>95</v>
      </c>
      <c r="K32" s="9"/>
      <c r="L32" s="8">
        <f t="shared" si="0"/>
        <v>0</v>
      </c>
    </row>
    <row r="33" spans="1:12" ht="162" customHeight="1" thickBot="1" x14ac:dyDescent="0.3">
      <c r="A33" s="50" t="s">
        <v>19</v>
      </c>
      <c r="B33" s="24" t="s">
        <v>18</v>
      </c>
      <c r="C33" s="12" t="s">
        <v>17</v>
      </c>
      <c r="D33" s="22" t="s">
        <v>14</v>
      </c>
      <c r="E33" s="13" t="s">
        <v>16</v>
      </c>
      <c r="F33" s="22" t="s">
        <v>4</v>
      </c>
      <c r="G33" s="13" t="s">
        <v>0</v>
      </c>
      <c r="H33" s="12" t="s">
        <v>459</v>
      </c>
      <c r="I33" s="11">
        <v>739</v>
      </c>
      <c r="J33" s="41"/>
      <c r="K33" s="9">
        <v>739</v>
      </c>
      <c r="L33" s="8">
        <f t="shared" si="0"/>
        <v>0</v>
      </c>
    </row>
    <row r="34" spans="1:12" ht="162" customHeight="1" thickBot="1" x14ac:dyDescent="0.3">
      <c r="A34" s="50"/>
      <c r="B34" s="24" t="s">
        <v>12</v>
      </c>
      <c r="C34" s="12" t="s">
        <v>105</v>
      </c>
      <c r="D34" s="22" t="s">
        <v>120</v>
      </c>
      <c r="E34" s="13" t="s">
        <v>217</v>
      </c>
      <c r="F34" s="22" t="s">
        <v>122</v>
      </c>
      <c r="G34" s="13" t="s">
        <v>8</v>
      </c>
      <c r="H34" s="12" t="s">
        <v>459</v>
      </c>
      <c r="I34" s="11">
        <v>2000</v>
      </c>
      <c r="J34" s="41">
        <v>1000</v>
      </c>
      <c r="K34" s="9">
        <v>1000</v>
      </c>
      <c r="L34" s="8">
        <f t="shared" si="0"/>
        <v>0</v>
      </c>
    </row>
    <row r="35" spans="1:12" ht="162" customHeight="1" thickBot="1" x14ac:dyDescent="0.3">
      <c r="A35" s="50"/>
      <c r="B35" s="24" t="s">
        <v>7</v>
      </c>
      <c r="C35" s="12" t="s">
        <v>15</v>
      </c>
      <c r="D35" s="22" t="s">
        <v>14</v>
      </c>
      <c r="E35" s="13" t="s">
        <v>13</v>
      </c>
      <c r="F35" s="22" t="s">
        <v>4</v>
      </c>
      <c r="G35" s="13" t="s">
        <v>0</v>
      </c>
      <c r="H35" s="12" t="s">
        <v>459</v>
      </c>
      <c r="I35" s="11">
        <v>1412</v>
      </c>
      <c r="J35" s="41"/>
      <c r="K35" s="9">
        <v>1412</v>
      </c>
      <c r="L35" s="8">
        <f t="shared" si="0"/>
        <v>0</v>
      </c>
    </row>
    <row r="36" spans="1:12" ht="162" customHeight="1" thickBot="1" x14ac:dyDescent="0.3">
      <c r="A36" s="50"/>
      <c r="B36" s="24" t="s">
        <v>12</v>
      </c>
      <c r="C36" s="12" t="s">
        <v>3</v>
      </c>
      <c r="D36" s="22" t="s">
        <v>11</v>
      </c>
      <c r="E36" s="13" t="s">
        <v>10</v>
      </c>
      <c r="F36" s="22" t="s">
        <v>9</v>
      </c>
      <c r="G36" s="13" t="s">
        <v>0</v>
      </c>
      <c r="H36" s="12" t="s">
        <v>463</v>
      </c>
      <c r="I36" s="11">
        <v>1000</v>
      </c>
      <c r="J36" s="41">
        <v>1000</v>
      </c>
      <c r="K36" s="9"/>
      <c r="L36" s="8">
        <f t="shared" si="0"/>
        <v>0</v>
      </c>
    </row>
    <row r="37" spans="1:12" ht="162" customHeight="1" thickBot="1" x14ac:dyDescent="0.3">
      <c r="A37" s="50"/>
      <c r="B37" s="24" t="s">
        <v>7</v>
      </c>
      <c r="C37" s="12" t="s">
        <v>6</v>
      </c>
      <c r="D37" s="22" t="s">
        <v>1</v>
      </c>
      <c r="E37" s="13" t="s">
        <v>5</v>
      </c>
      <c r="F37" s="22" t="s">
        <v>4</v>
      </c>
      <c r="G37" s="13" t="s">
        <v>0</v>
      </c>
      <c r="H37" s="12" t="s">
        <v>459</v>
      </c>
      <c r="I37" s="11">
        <v>3000</v>
      </c>
      <c r="J37" s="41">
        <v>1000</v>
      </c>
      <c r="K37" s="9">
        <v>2000</v>
      </c>
      <c r="L37" s="8">
        <f t="shared" si="0"/>
        <v>0</v>
      </c>
    </row>
    <row r="38" spans="1:12" ht="162" customHeight="1" thickBot="1" x14ac:dyDescent="0.3">
      <c r="A38" s="50"/>
      <c r="B38" s="24" t="s">
        <v>7</v>
      </c>
      <c r="C38" s="12" t="s">
        <v>6</v>
      </c>
      <c r="D38" s="22" t="s">
        <v>1</v>
      </c>
      <c r="E38" s="23" t="s">
        <v>5</v>
      </c>
      <c r="F38" s="22" t="s">
        <v>4</v>
      </c>
      <c r="G38" s="13" t="s">
        <v>0</v>
      </c>
      <c r="H38" s="12" t="s">
        <v>459</v>
      </c>
      <c r="I38" s="11">
        <v>2921</v>
      </c>
      <c r="J38" s="41"/>
      <c r="K38" s="9">
        <v>2921</v>
      </c>
      <c r="L38" s="8">
        <f t="shared" si="0"/>
        <v>0</v>
      </c>
    </row>
    <row r="39" spans="1:12" ht="162" customHeight="1" thickBot="1" x14ac:dyDescent="0.3">
      <c r="A39" s="50"/>
      <c r="B39" s="24" t="s">
        <v>194</v>
      </c>
      <c r="C39" s="12" t="s">
        <v>3</v>
      </c>
      <c r="D39" s="22" t="s">
        <v>1</v>
      </c>
      <c r="E39" s="13" t="s">
        <v>195</v>
      </c>
      <c r="F39" s="22" t="s">
        <v>122</v>
      </c>
      <c r="G39" s="13" t="s">
        <v>0</v>
      </c>
      <c r="H39" s="12" t="s">
        <v>459</v>
      </c>
      <c r="I39" s="11">
        <v>2000</v>
      </c>
      <c r="J39" s="41">
        <v>1000</v>
      </c>
      <c r="K39" s="9">
        <v>1000</v>
      </c>
      <c r="L39" s="8">
        <f t="shared" si="0"/>
        <v>0</v>
      </c>
    </row>
    <row r="40" spans="1:12" ht="162" customHeight="1" thickBot="1" x14ac:dyDescent="0.3">
      <c r="A40" s="50"/>
      <c r="B40" s="24" t="s">
        <v>194</v>
      </c>
      <c r="C40" s="12" t="s">
        <v>118</v>
      </c>
      <c r="D40" s="22" t="s">
        <v>1</v>
      </c>
      <c r="E40" s="23" t="s">
        <v>216</v>
      </c>
      <c r="F40" s="22" t="s">
        <v>122</v>
      </c>
      <c r="G40" s="13" t="s">
        <v>0</v>
      </c>
      <c r="H40" s="12" t="s">
        <v>459</v>
      </c>
      <c r="I40" s="11">
        <v>2000</v>
      </c>
      <c r="J40" s="41"/>
      <c r="K40" s="9">
        <v>2000</v>
      </c>
      <c r="L40" s="8">
        <f t="shared" si="0"/>
        <v>0</v>
      </c>
    </row>
    <row r="41" spans="1:12" ht="162" customHeight="1" thickBot="1" x14ac:dyDescent="0.3">
      <c r="A41" s="50"/>
      <c r="B41" s="24" t="s">
        <v>12</v>
      </c>
      <c r="C41" s="12" t="s">
        <v>285</v>
      </c>
      <c r="D41" s="22" t="s">
        <v>1</v>
      </c>
      <c r="E41" s="23" t="s">
        <v>444</v>
      </c>
      <c r="F41" s="22" t="s">
        <v>122</v>
      </c>
      <c r="G41" s="13" t="s">
        <v>8</v>
      </c>
      <c r="H41" s="12" t="s">
        <v>459</v>
      </c>
      <c r="I41" s="11">
        <v>41</v>
      </c>
      <c r="J41" s="41"/>
      <c r="K41" s="9">
        <v>41</v>
      </c>
      <c r="L41" s="8">
        <f t="shared" si="0"/>
        <v>0</v>
      </c>
    </row>
    <row r="42" spans="1:12" x14ac:dyDescent="0.25">
      <c r="A42" s="7" t="s">
        <v>476</v>
      </c>
    </row>
  </sheetData>
  <autoFilter ref="A2:L42"/>
  <dataConsolidate/>
  <mergeCells count="5">
    <mergeCell ref="A33:A41"/>
    <mergeCell ref="A1:L1"/>
    <mergeCell ref="A3:A16"/>
    <mergeCell ref="A17:A27"/>
    <mergeCell ref="A28:A31"/>
  </mergeCells>
  <conditionalFormatting sqref="I2:I37 K3:L37 L38:L41">
    <cfRule type="cellIs" dxfId="11" priority="3" operator="lessThan">
      <formula>0</formula>
    </cfRule>
  </conditionalFormatting>
  <conditionalFormatting sqref="L2">
    <cfRule type="cellIs" dxfId="10" priority="2" operator="lessThan">
      <formula>0</formula>
    </cfRule>
  </conditionalFormatting>
  <conditionalFormatting sqref="I38:I41 K38:K41">
    <cfRule type="cellIs" dxfId="9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9"/>
  <sheetViews>
    <sheetView showGridLines="0" view="pageBreakPreview" zoomScale="20" zoomScaleNormal="15" zoomScaleSheetLayoutView="20" workbookViewId="0">
      <selection activeCell="K9" sqref="K9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467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50" t="s">
        <v>41</v>
      </c>
      <c r="B3" s="13" t="s">
        <v>40</v>
      </c>
      <c r="C3" s="12" t="s">
        <v>125</v>
      </c>
      <c r="D3" s="12" t="s">
        <v>126</v>
      </c>
      <c r="E3" s="13" t="s">
        <v>127</v>
      </c>
      <c r="F3" s="22" t="s">
        <v>122</v>
      </c>
      <c r="G3" s="13" t="s">
        <v>0</v>
      </c>
      <c r="H3" s="12" t="s">
        <v>468</v>
      </c>
      <c r="I3" s="11">
        <v>1500</v>
      </c>
      <c r="J3" s="10">
        <v>1000</v>
      </c>
      <c r="K3" s="9"/>
      <c r="L3" s="8">
        <f t="shared" ref="L3:L39" si="0">K3+J3-I3</f>
        <v>-500</v>
      </c>
    </row>
    <row r="4" spans="1:12" ht="162" customHeight="1" thickBot="1" x14ac:dyDescent="0.3">
      <c r="A4" s="50"/>
      <c r="B4" s="13" t="s">
        <v>136</v>
      </c>
      <c r="C4" s="12" t="s">
        <v>6</v>
      </c>
      <c r="D4" s="12" t="s">
        <v>126</v>
      </c>
      <c r="E4" s="13" t="s">
        <v>137</v>
      </c>
      <c r="F4" s="22" t="s">
        <v>122</v>
      </c>
      <c r="G4" s="13" t="s">
        <v>0</v>
      </c>
      <c r="H4" s="12" t="s">
        <v>463</v>
      </c>
      <c r="I4" s="11">
        <v>2000</v>
      </c>
      <c r="J4" s="10">
        <v>1000</v>
      </c>
      <c r="K4" s="9"/>
      <c r="L4" s="8">
        <f t="shared" si="0"/>
        <v>-1000</v>
      </c>
    </row>
    <row r="5" spans="1:12" ht="162" customHeight="1" thickBot="1" x14ac:dyDescent="0.3">
      <c r="A5" s="50"/>
      <c r="B5" s="13" t="s">
        <v>136</v>
      </c>
      <c r="C5" s="12" t="s">
        <v>3</v>
      </c>
      <c r="D5" s="12" t="s">
        <v>126</v>
      </c>
      <c r="E5" s="13" t="s">
        <v>422</v>
      </c>
      <c r="F5" s="22" t="s">
        <v>122</v>
      </c>
      <c r="G5" s="13" t="s">
        <v>0</v>
      </c>
      <c r="H5" s="12" t="s">
        <v>463</v>
      </c>
      <c r="I5" s="11">
        <v>1000</v>
      </c>
      <c r="J5" s="10">
        <v>1000</v>
      </c>
      <c r="K5" s="9"/>
      <c r="L5" s="8">
        <f t="shared" si="0"/>
        <v>0</v>
      </c>
    </row>
    <row r="6" spans="1:12" ht="162" customHeight="1" thickBot="1" x14ac:dyDescent="0.3">
      <c r="A6" s="50"/>
      <c r="B6" s="13" t="s">
        <v>136</v>
      </c>
      <c r="C6" s="12" t="s">
        <v>3</v>
      </c>
      <c r="D6" s="12" t="s">
        <v>126</v>
      </c>
      <c r="E6" s="13" t="s">
        <v>392</v>
      </c>
      <c r="F6" s="22" t="s">
        <v>122</v>
      </c>
      <c r="G6" s="13" t="s">
        <v>0</v>
      </c>
      <c r="H6" s="12" t="s">
        <v>463</v>
      </c>
      <c r="I6" s="11">
        <v>3000</v>
      </c>
      <c r="J6" s="10"/>
      <c r="K6" s="9"/>
      <c r="L6" s="8">
        <f t="shared" si="0"/>
        <v>-3000</v>
      </c>
    </row>
    <row r="7" spans="1:12" ht="162" customHeight="1" thickBot="1" x14ac:dyDescent="0.3">
      <c r="A7" s="50"/>
      <c r="B7" s="13" t="s">
        <v>28</v>
      </c>
      <c r="C7" s="12" t="s">
        <v>34</v>
      </c>
      <c r="D7" s="12" t="s">
        <v>24</v>
      </c>
      <c r="E7" s="13" t="s">
        <v>33</v>
      </c>
      <c r="F7" s="22" t="s">
        <v>4</v>
      </c>
      <c r="G7" s="13" t="s">
        <v>0</v>
      </c>
      <c r="H7" s="12" t="s">
        <v>463</v>
      </c>
      <c r="I7" s="11">
        <v>8000</v>
      </c>
      <c r="J7" s="10"/>
      <c r="K7" s="9"/>
      <c r="L7" s="8">
        <f t="shared" si="0"/>
        <v>-8000</v>
      </c>
    </row>
    <row r="8" spans="1:12" ht="162" customHeight="1" thickBot="1" x14ac:dyDescent="0.3">
      <c r="A8" s="50"/>
      <c r="B8" s="13" t="s">
        <v>95</v>
      </c>
      <c r="C8" s="12" t="s">
        <v>15</v>
      </c>
      <c r="D8" s="12" t="s">
        <v>24</v>
      </c>
      <c r="E8" s="13" t="s">
        <v>362</v>
      </c>
      <c r="F8" s="22" t="s">
        <v>4</v>
      </c>
      <c r="G8" s="13" t="s">
        <v>0</v>
      </c>
      <c r="H8" s="12" t="s">
        <v>463</v>
      </c>
      <c r="I8" s="11">
        <v>1000</v>
      </c>
      <c r="J8" s="10"/>
      <c r="K8" s="9"/>
      <c r="L8" s="8">
        <f t="shared" si="0"/>
        <v>-1000</v>
      </c>
    </row>
    <row r="9" spans="1:12" ht="162" customHeight="1" thickBot="1" x14ac:dyDescent="0.3">
      <c r="A9" s="50"/>
      <c r="B9" s="13" t="s">
        <v>95</v>
      </c>
      <c r="C9" s="12" t="s">
        <v>15</v>
      </c>
      <c r="D9" s="12" t="s">
        <v>24</v>
      </c>
      <c r="E9" s="23" t="s">
        <v>96</v>
      </c>
      <c r="F9" s="22" t="s">
        <v>4</v>
      </c>
      <c r="G9" s="13" t="s">
        <v>0</v>
      </c>
      <c r="H9" s="12" t="s">
        <v>463</v>
      </c>
      <c r="I9" s="11">
        <v>2500</v>
      </c>
      <c r="J9" s="10">
        <v>2000</v>
      </c>
      <c r="K9" s="9"/>
      <c r="L9" s="8">
        <f t="shared" si="0"/>
        <v>-500</v>
      </c>
    </row>
    <row r="10" spans="1:12" ht="162" customHeight="1" thickBot="1" x14ac:dyDescent="0.3">
      <c r="A10" s="50"/>
      <c r="B10" s="13" t="s">
        <v>38</v>
      </c>
      <c r="C10" s="12" t="s">
        <v>27</v>
      </c>
      <c r="D10" s="12" t="s">
        <v>24</v>
      </c>
      <c r="E10" s="23" t="s">
        <v>197</v>
      </c>
      <c r="F10" s="22" t="s">
        <v>4</v>
      </c>
      <c r="G10" s="13" t="s">
        <v>0</v>
      </c>
      <c r="H10" s="12" t="s">
        <v>463</v>
      </c>
      <c r="I10" s="11">
        <v>9000</v>
      </c>
      <c r="J10" s="10">
        <v>2000</v>
      </c>
      <c r="K10" s="9"/>
      <c r="L10" s="8">
        <f t="shared" si="0"/>
        <v>-7000</v>
      </c>
    </row>
    <row r="11" spans="1:12" ht="162" customHeight="1" thickBot="1" x14ac:dyDescent="0.3">
      <c r="A11" s="50"/>
      <c r="B11" s="13" t="s">
        <v>371</v>
      </c>
      <c r="C11" s="12" t="s">
        <v>113</v>
      </c>
      <c r="D11" s="12" t="s">
        <v>24</v>
      </c>
      <c r="E11" s="13" t="s">
        <v>114</v>
      </c>
      <c r="F11" s="22" t="s">
        <v>4</v>
      </c>
      <c r="G11" s="13" t="s">
        <v>0</v>
      </c>
      <c r="H11" s="12" t="s">
        <v>463</v>
      </c>
      <c r="I11" s="11">
        <v>2500</v>
      </c>
      <c r="J11" s="10">
        <v>1000</v>
      </c>
      <c r="K11" s="9"/>
      <c r="L11" s="8">
        <f t="shared" si="0"/>
        <v>-1500</v>
      </c>
    </row>
    <row r="12" spans="1:12" ht="162" customHeight="1" thickBot="1" x14ac:dyDescent="0.3">
      <c r="A12" s="50"/>
      <c r="B12" s="13" t="s">
        <v>32</v>
      </c>
      <c r="C12" s="12" t="s">
        <v>31</v>
      </c>
      <c r="D12" s="12" t="s">
        <v>24</v>
      </c>
      <c r="E12" s="13" t="s">
        <v>80</v>
      </c>
      <c r="F12" s="22" t="s">
        <v>9</v>
      </c>
      <c r="G12" s="13" t="s">
        <v>0</v>
      </c>
      <c r="H12" s="12" t="s">
        <v>463</v>
      </c>
      <c r="I12" s="11">
        <v>1000</v>
      </c>
      <c r="J12" s="10"/>
      <c r="K12" s="9"/>
      <c r="L12" s="8">
        <f t="shared" si="0"/>
        <v>-1000</v>
      </c>
    </row>
    <row r="13" spans="1:12" ht="162" customHeight="1" thickBot="1" x14ac:dyDescent="0.3">
      <c r="A13" s="50"/>
      <c r="B13" s="13" t="s">
        <v>32</v>
      </c>
      <c r="C13" s="12" t="s">
        <v>31</v>
      </c>
      <c r="D13" s="12" t="s">
        <v>24</v>
      </c>
      <c r="E13" s="13" t="s">
        <v>116</v>
      </c>
      <c r="F13" s="22" t="s">
        <v>9</v>
      </c>
      <c r="G13" s="13" t="s">
        <v>0</v>
      </c>
      <c r="H13" s="12" t="s">
        <v>463</v>
      </c>
      <c r="I13" s="11">
        <v>500</v>
      </c>
      <c r="J13" s="10"/>
      <c r="K13" s="9"/>
      <c r="L13" s="8">
        <f t="shared" si="0"/>
        <v>-500</v>
      </c>
    </row>
    <row r="14" spans="1:12" ht="162" customHeight="1" thickBot="1" x14ac:dyDescent="0.3">
      <c r="A14" s="50"/>
      <c r="B14" s="13" t="s">
        <v>32</v>
      </c>
      <c r="C14" s="12" t="s">
        <v>31</v>
      </c>
      <c r="D14" s="12" t="s">
        <v>24</v>
      </c>
      <c r="E14" s="13" t="s">
        <v>78</v>
      </c>
      <c r="F14" s="22" t="s">
        <v>380</v>
      </c>
      <c r="G14" s="13" t="s">
        <v>0</v>
      </c>
      <c r="H14" s="12" t="s">
        <v>463</v>
      </c>
      <c r="I14" s="11">
        <v>2320</v>
      </c>
      <c r="J14" s="10">
        <v>1000</v>
      </c>
      <c r="K14" s="9"/>
      <c r="L14" s="8">
        <f t="shared" si="0"/>
        <v>-1320</v>
      </c>
    </row>
    <row r="15" spans="1:12" ht="162" customHeight="1" thickBot="1" x14ac:dyDescent="0.3">
      <c r="A15" s="50"/>
      <c r="B15" s="13" t="s">
        <v>28</v>
      </c>
      <c r="C15" s="12" t="s">
        <v>85</v>
      </c>
      <c r="D15" s="12" t="s">
        <v>24</v>
      </c>
      <c r="E15" s="13" t="s">
        <v>86</v>
      </c>
      <c r="F15" s="22" t="s">
        <v>4</v>
      </c>
      <c r="G15" s="13" t="s">
        <v>37</v>
      </c>
      <c r="H15" s="12" t="s">
        <v>463</v>
      </c>
      <c r="I15" s="11">
        <v>500</v>
      </c>
      <c r="J15" s="10"/>
      <c r="K15" s="9"/>
      <c r="L15" s="8">
        <f t="shared" si="0"/>
        <v>-500</v>
      </c>
    </row>
    <row r="16" spans="1:12" ht="162" customHeight="1" thickBot="1" x14ac:dyDescent="0.3">
      <c r="A16" s="50"/>
      <c r="B16" s="13" t="s">
        <v>28</v>
      </c>
      <c r="C16" s="12" t="s">
        <v>85</v>
      </c>
      <c r="D16" s="12" t="s">
        <v>24</v>
      </c>
      <c r="E16" s="13" t="s">
        <v>469</v>
      </c>
      <c r="F16" s="22" t="s">
        <v>4</v>
      </c>
      <c r="G16" s="13" t="s">
        <v>37</v>
      </c>
      <c r="H16" s="12" t="s">
        <v>463</v>
      </c>
      <c r="I16" s="11">
        <v>500</v>
      </c>
      <c r="J16" s="10"/>
      <c r="K16" s="9"/>
      <c r="L16" s="8">
        <f t="shared" si="0"/>
        <v>-500</v>
      </c>
    </row>
    <row r="17" spans="1:12" ht="162" customHeight="1" thickBot="1" x14ac:dyDescent="0.3">
      <c r="A17" s="50"/>
      <c r="B17" s="13" t="s">
        <v>28</v>
      </c>
      <c r="C17" s="12" t="s">
        <v>85</v>
      </c>
      <c r="D17" s="12" t="s">
        <v>24</v>
      </c>
      <c r="E17" s="13" t="s">
        <v>418</v>
      </c>
      <c r="F17" s="22" t="s">
        <v>4</v>
      </c>
      <c r="G17" s="13" t="s">
        <v>37</v>
      </c>
      <c r="H17" s="12" t="s">
        <v>463</v>
      </c>
      <c r="I17" s="11">
        <v>300</v>
      </c>
      <c r="J17" s="10">
        <v>300</v>
      </c>
      <c r="K17" s="9"/>
      <c r="L17" s="8">
        <f t="shared" si="0"/>
        <v>0</v>
      </c>
    </row>
    <row r="18" spans="1:12" ht="162" customHeight="1" thickBot="1" x14ac:dyDescent="0.3">
      <c r="A18" s="50"/>
      <c r="B18" s="13" t="s">
        <v>28</v>
      </c>
      <c r="C18" s="12" t="s">
        <v>85</v>
      </c>
      <c r="D18" s="12" t="s">
        <v>24</v>
      </c>
      <c r="E18" s="13" t="s">
        <v>92</v>
      </c>
      <c r="F18" s="22" t="s">
        <v>4</v>
      </c>
      <c r="G18" s="13" t="s">
        <v>37</v>
      </c>
      <c r="H18" s="12" t="s">
        <v>463</v>
      </c>
      <c r="I18" s="11">
        <v>240</v>
      </c>
      <c r="J18" s="10"/>
      <c r="K18" s="9"/>
      <c r="L18" s="8">
        <f t="shared" si="0"/>
        <v>-240</v>
      </c>
    </row>
    <row r="19" spans="1:12" ht="162" customHeight="1" thickBot="1" x14ac:dyDescent="0.3">
      <c r="A19" s="50" t="s">
        <v>36</v>
      </c>
      <c r="B19" s="13" t="s">
        <v>28</v>
      </c>
      <c r="C19" s="12" t="s">
        <v>34</v>
      </c>
      <c r="D19" s="12" t="s">
        <v>24</v>
      </c>
      <c r="E19" s="13" t="s">
        <v>33</v>
      </c>
      <c r="F19" s="22" t="s">
        <v>4</v>
      </c>
      <c r="G19" s="13" t="s">
        <v>0</v>
      </c>
      <c r="H19" s="12" t="s">
        <v>463</v>
      </c>
      <c r="I19" s="11">
        <v>3000</v>
      </c>
      <c r="J19" s="10"/>
      <c r="K19" s="9"/>
      <c r="L19" s="8">
        <f t="shared" si="0"/>
        <v>-3000</v>
      </c>
    </row>
    <row r="20" spans="1:12" ht="162" customHeight="1" thickBot="1" x14ac:dyDescent="0.3">
      <c r="A20" s="50"/>
      <c r="B20" s="13" t="s">
        <v>112</v>
      </c>
      <c r="C20" s="12" t="s">
        <v>34</v>
      </c>
      <c r="D20" s="12" t="s">
        <v>24</v>
      </c>
      <c r="E20" s="13" t="s">
        <v>33</v>
      </c>
      <c r="F20" s="22" t="s">
        <v>4</v>
      </c>
      <c r="G20" s="13" t="s">
        <v>0</v>
      </c>
      <c r="H20" s="12" t="s">
        <v>463</v>
      </c>
      <c r="I20" s="11">
        <v>3000</v>
      </c>
      <c r="J20" s="10"/>
      <c r="K20" s="9"/>
      <c r="L20" s="8">
        <f t="shared" si="0"/>
        <v>-3000</v>
      </c>
    </row>
    <row r="21" spans="1:12" ht="162" customHeight="1" thickBot="1" x14ac:dyDescent="0.3">
      <c r="A21" s="50"/>
      <c r="B21" s="13" t="s">
        <v>61</v>
      </c>
      <c r="C21" s="12" t="s">
        <v>31</v>
      </c>
      <c r="D21" s="12" t="s">
        <v>24</v>
      </c>
      <c r="E21" s="13" t="s">
        <v>80</v>
      </c>
      <c r="F21" s="22" t="s">
        <v>9</v>
      </c>
      <c r="G21" s="13" t="s">
        <v>0</v>
      </c>
      <c r="H21" s="12" t="s">
        <v>463</v>
      </c>
      <c r="I21" s="11">
        <v>2000</v>
      </c>
      <c r="J21" s="10"/>
      <c r="K21" s="9"/>
      <c r="L21" s="8">
        <f t="shared" si="0"/>
        <v>-2000</v>
      </c>
    </row>
    <row r="22" spans="1:12" ht="162" customHeight="1" thickBot="1" x14ac:dyDescent="0.3">
      <c r="A22" s="50"/>
      <c r="B22" s="13" t="s">
        <v>32</v>
      </c>
      <c r="C22" s="12" t="s">
        <v>31</v>
      </c>
      <c r="D22" s="12" t="s">
        <v>24</v>
      </c>
      <c r="E22" s="13" t="s">
        <v>78</v>
      </c>
      <c r="F22" s="22" t="s">
        <v>380</v>
      </c>
      <c r="G22" s="13" t="s">
        <v>0</v>
      </c>
      <c r="H22" s="12" t="s">
        <v>463</v>
      </c>
      <c r="I22" s="11">
        <v>2320</v>
      </c>
      <c r="J22" s="10">
        <v>1000</v>
      </c>
      <c r="K22" s="9"/>
      <c r="L22" s="8">
        <f t="shared" si="0"/>
        <v>-1320</v>
      </c>
    </row>
    <row r="23" spans="1:12" ht="162" customHeight="1" thickBot="1" x14ac:dyDescent="0.3">
      <c r="A23" s="50"/>
      <c r="B23" s="13" t="s">
        <v>40</v>
      </c>
      <c r="C23" s="12" t="s">
        <v>27</v>
      </c>
      <c r="D23" s="12" t="s">
        <v>24</v>
      </c>
      <c r="E23" s="13" t="s">
        <v>197</v>
      </c>
      <c r="F23" s="22" t="s">
        <v>4</v>
      </c>
      <c r="G23" s="13" t="s">
        <v>0</v>
      </c>
      <c r="H23" s="12" t="s">
        <v>463</v>
      </c>
      <c r="I23" s="11">
        <v>3000</v>
      </c>
      <c r="J23" s="10"/>
      <c r="K23" s="9"/>
      <c r="L23" s="8">
        <f t="shared" si="0"/>
        <v>-3000</v>
      </c>
    </row>
    <row r="24" spans="1:12" ht="162" customHeight="1" thickBot="1" x14ac:dyDescent="0.3">
      <c r="A24" s="50"/>
      <c r="B24" s="13" t="s">
        <v>284</v>
      </c>
      <c r="C24" s="12" t="s">
        <v>113</v>
      </c>
      <c r="D24" s="12" t="s">
        <v>24</v>
      </c>
      <c r="E24" s="13" t="s">
        <v>114</v>
      </c>
      <c r="F24" s="22" t="s">
        <v>4</v>
      </c>
      <c r="G24" s="13" t="s">
        <v>0</v>
      </c>
      <c r="H24" s="12" t="s">
        <v>463</v>
      </c>
      <c r="I24" s="11">
        <v>2500</v>
      </c>
      <c r="J24" s="10"/>
      <c r="K24" s="9"/>
      <c r="L24" s="8">
        <f t="shared" si="0"/>
        <v>-2500</v>
      </c>
    </row>
    <row r="25" spans="1:12" ht="162" customHeight="1" thickBot="1" x14ac:dyDescent="0.3">
      <c r="A25" s="50"/>
      <c r="B25" s="13" t="s">
        <v>95</v>
      </c>
      <c r="C25" s="12" t="s">
        <v>15</v>
      </c>
      <c r="D25" s="12" t="s">
        <v>24</v>
      </c>
      <c r="E25" s="13" t="s">
        <v>362</v>
      </c>
      <c r="F25" s="22" t="s">
        <v>4</v>
      </c>
      <c r="G25" s="13" t="s">
        <v>0</v>
      </c>
      <c r="H25" s="12" t="s">
        <v>463</v>
      </c>
      <c r="I25" s="11">
        <v>1000</v>
      </c>
      <c r="J25" s="10"/>
      <c r="K25" s="9"/>
      <c r="L25" s="8">
        <f t="shared" si="0"/>
        <v>-1000</v>
      </c>
    </row>
    <row r="26" spans="1:12" ht="162" customHeight="1" thickBot="1" x14ac:dyDescent="0.3">
      <c r="A26" s="50"/>
      <c r="B26" s="13" t="s">
        <v>95</v>
      </c>
      <c r="C26" s="12" t="s">
        <v>15</v>
      </c>
      <c r="D26" s="12" t="s">
        <v>24</v>
      </c>
      <c r="E26" s="23" t="s">
        <v>96</v>
      </c>
      <c r="F26" s="22" t="s">
        <v>4</v>
      </c>
      <c r="G26" s="13" t="s">
        <v>0</v>
      </c>
      <c r="H26" s="12" t="s">
        <v>463</v>
      </c>
      <c r="I26" s="11">
        <v>2500</v>
      </c>
      <c r="J26" s="10">
        <v>2000</v>
      </c>
      <c r="K26" s="9"/>
      <c r="L26" s="8">
        <f t="shared" si="0"/>
        <v>-500</v>
      </c>
    </row>
    <row r="27" spans="1:12" ht="162" customHeight="1" thickBot="1" x14ac:dyDescent="0.3">
      <c r="A27" s="50"/>
      <c r="B27" s="13" t="s">
        <v>77</v>
      </c>
      <c r="C27" s="12" t="s">
        <v>27</v>
      </c>
      <c r="D27" s="12" t="s">
        <v>24</v>
      </c>
      <c r="E27" s="13" t="s">
        <v>197</v>
      </c>
      <c r="F27" s="22" t="s">
        <v>4</v>
      </c>
      <c r="G27" s="13" t="s">
        <v>0</v>
      </c>
      <c r="H27" s="12" t="s">
        <v>463</v>
      </c>
      <c r="I27" s="11">
        <v>3000</v>
      </c>
      <c r="J27" s="10"/>
      <c r="K27" s="9"/>
      <c r="L27" s="8">
        <f t="shared" si="0"/>
        <v>-3000</v>
      </c>
    </row>
    <row r="28" spans="1:12" ht="162" customHeight="1" thickBot="1" x14ac:dyDescent="0.3">
      <c r="A28" s="50" t="s">
        <v>23</v>
      </c>
      <c r="B28" s="24" t="s">
        <v>223</v>
      </c>
      <c r="C28" s="12" t="s">
        <v>17</v>
      </c>
      <c r="D28" s="22" t="s">
        <v>311</v>
      </c>
      <c r="E28" s="13" t="s">
        <v>312</v>
      </c>
      <c r="F28" s="22" t="s">
        <v>122</v>
      </c>
      <c r="G28" s="13" t="s">
        <v>0</v>
      </c>
      <c r="H28" s="12" t="s">
        <v>463</v>
      </c>
      <c r="I28" s="11">
        <v>2500</v>
      </c>
      <c r="J28" s="41">
        <v>500</v>
      </c>
      <c r="K28" s="9"/>
      <c r="L28" s="8">
        <f t="shared" si="0"/>
        <v>-2000</v>
      </c>
    </row>
    <row r="29" spans="1:12" ht="162" customHeight="1" thickBot="1" x14ac:dyDescent="0.3">
      <c r="A29" s="50"/>
      <c r="B29" s="24" t="s">
        <v>12</v>
      </c>
      <c r="C29" s="12" t="s">
        <v>6</v>
      </c>
      <c r="D29" s="22" t="s">
        <v>20</v>
      </c>
      <c r="E29" s="13" t="s">
        <v>22</v>
      </c>
      <c r="F29" s="22" t="s">
        <v>4</v>
      </c>
      <c r="G29" s="13" t="s">
        <v>0</v>
      </c>
      <c r="H29" s="12" t="s">
        <v>459</v>
      </c>
      <c r="I29" s="11">
        <v>1113</v>
      </c>
      <c r="J29" s="41"/>
      <c r="K29" s="9"/>
      <c r="L29" s="8">
        <f t="shared" si="0"/>
        <v>-1113</v>
      </c>
    </row>
    <row r="30" spans="1:12" ht="162" customHeight="1" thickBot="1" x14ac:dyDescent="0.3">
      <c r="A30" s="50"/>
      <c r="B30" s="24" t="s">
        <v>12</v>
      </c>
      <c r="C30" s="12" t="s">
        <v>6</v>
      </c>
      <c r="D30" s="22" t="s">
        <v>20</v>
      </c>
      <c r="E30" s="13" t="s">
        <v>22</v>
      </c>
      <c r="F30" s="22" t="s">
        <v>4</v>
      </c>
      <c r="G30" s="13" t="s">
        <v>0</v>
      </c>
      <c r="H30" s="12" t="s">
        <v>463</v>
      </c>
      <c r="I30" s="11">
        <v>3000</v>
      </c>
      <c r="J30" s="41">
        <v>1000</v>
      </c>
      <c r="K30" s="9"/>
      <c r="L30" s="8">
        <f t="shared" si="0"/>
        <v>-2000</v>
      </c>
    </row>
    <row r="31" spans="1:12" ht="162" customHeight="1" thickBot="1" x14ac:dyDescent="0.3">
      <c r="A31" s="50" t="s">
        <v>19</v>
      </c>
      <c r="B31" s="24" t="s">
        <v>7</v>
      </c>
      <c r="C31" s="12" t="s">
        <v>17</v>
      </c>
      <c r="D31" s="22" t="s">
        <v>120</v>
      </c>
      <c r="E31" s="13" t="s">
        <v>121</v>
      </c>
      <c r="F31" s="22" t="s">
        <v>122</v>
      </c>
      <c r="G31" s="13" t="s">
        <v>0</v>
      </c>
      <c r="H31" s="12" t="s">
        <v>463</v>
      </c>
      <c r="I31" s="11">
        <v>4000</v>
      </c>
      <c r="J31" s="41">
        <v>1000</v>
      </c>
      <c r="K31" s="9"/>
      <c r="L31" s="8">
        <f t="shared" si="0"/>
        <v>-3000</v>
      </c>
    </row>
    <row r="32" spans="1:12" ht="162" customHeight="1" thickBot="1" x14ac:dyDescent="0.3">
      <c r="A32" s="50"/>
      <c r="B32" s="24" t="s">
        <v>7</v>
      </c>
      <c r="C32" s="12" t="s">
        <v>15</v>
      </c>
      <c r="D32" s="22" t="s">
        <v>14</v>
      </c>
      <c r="E32" s="13" t="s">
        <v>65</v>
      </c>
      <c r="F32" s="22" t="s">
        <v>4</v>
      </c>
      <c r="G32" s="13" t="s">
        <v>0</v>
      </c>
      <c r="H32" s="12" t="s">
        <v>463</v>
      </c>
      <c r="I32" s="11">
        <v>900</v>
      </c>
      <c r="J32" s="41"/>
      <c r="K32" s="9"/>
      <c r="L32" s="8">
        <f t="shared" si="0"/>
        <v>-900</v>
      </c>
    </row>
    <row r="33" spans="1:12" ht="162" customHeight="1" thickBot="1" x14ac:dyDescent="0.3">
      <c r="A33" s="50"/>
      <c r="B33" s="24" t="s">
        <v>7</v>
      </c>
      <c r="C33" s="12" t="s">
        <v>15</v>
      </c>
      <c r="D33" s="22" t="s">
        <v>14</v>
      </c>
      <c r="E33" s="13" t="s">
        <v>13</v>
      </c>
      <c r="F33" s="22" t="s">
        <v>4</v>
      </c>
      <c r="G33" s="13" t="s">
        <v>0</v>
      </c>
      <c r="H33" s="12" t="s">
        <v>463</v>
      </c>
      <c r="I33" s="11">
        <v>3000</v>
      </c>
      <c r="J33" s="41">
        <v>1000</v>
      </c>
      <c r="K33" s="9"/>
      <c r="L33" s="8">
        <f t="shared" si="0"/>
        <v>-2000</v>
      </c>
    </row>
    <row r="34" spans="1:12" ht="162" customHeight="1" thickBot="1" x14ac:dyDescent="0.3">
      <c r="A34" s="50"/>
      <c r="B34" s="24" t="s">
        <v>7</v>
      </c>
      <c r="C34" s="12" t="s">
        <v>15</v>
      </c>
      <c r="D34" s="22" t="s">
        <v>14</v>
      </c>
      <c r="E34" s="13" t="s">
        <v>58</v>
      </c>
      <c r="F34" s="22" t="s">
        <v>4</v>
      </c>
      <c r="G34" s="13" t="s">
        <v>0</v>
      </c>
      <c r="H34" s="12" t="s">
        <v>463</v>
      </c>
      <c r="I34" s="11">
        <v>600</v>
      </c>
      <c r="J34" s="41"/>
      <c r="K34" s="9"/>
      <c r="L34" s="8">
        <f t="shared" si="0"/>
        <v>-600</v>
      </c>
    </row>
    <row r="35" spans="1:12" ht="162" customHeight="1" thickBot="1" x14ac:dyDescent="0.3">
      <c r="A35" s="50"/>
      <c r="B35" s="24" t="s">
        <v>12</v>
      </c>
      <c r="C35" s="12" t="s">
        <v>3</v>
      </c>
      <c r="D35" s="22" t="s">
        <v>11</v>
      </c>
      <c r="E35" s="13" t="s">
        <v>10</v>
      </c>
      <c r="F35" s="22" t="s">
        <v>4</v>
      </c>
      <c r="G35" s="13" t="s">
        <v>0</v>
      </c>
      <c r="H35" s="12" t="s">
        <v>463</v>
      </c>
      <c r="I35" s="11">
        <v>4000</v>
      </c>
      <c r="J35" s="41">
        <v>1000</v>
      </c>
      <c r="K35" s="9"/>
      <c r="L35" s="8">
        <f t="shared" si="0"/>
        <v>-3000</v>
      </c>
    </row>
    <row r="36" spans="1:12" ht="162" customHeight="1" thickBot="1" x14ac:dyDescent="0.3">
      <c r="A36" s="50"/>
      <c r="B36" s="24" t="s">
        <v>7</v>
      </c>
      <c r="C36" s="12" t="s">
        <v>6</v>
      </c>
      <c r="D36" s="22" t="s">
        <v>1</v>
      </c>
      <c r="E36" s="13" t="s">
        <v>5</v>
      </c>
      <c r="F36" s="22" t="s">
        <v>4</v>
      </c>
      <c r="G36" s="13" t="s">
        <v>0</v>
      </c>
      <c r="H36" s="12" t="s">
        <v>463</v>
      </c>
      <c r="I36" s="11">
        <v>4000</v>
      </c>
      <c r="J36" s="41"/>
      <c r="K36" s="9"/>
      <c r="L36" s="8">
        <f t="shared" si="0"/>
        <v>-4000</v>
      </c>
    </row>
    <row r="37" spans="1:12" ht="162" customHeight="1" thickBot="1" x14ac:dyDescent="0.3">
      <c r="A37" s="50"/>
      <c r="B37" s="24" t="s">
        <v>7</v>
      </c>
      <c r="C37" s="12" t="s">
        <v>6</v>
      </c>
      <c r="D37" s="22" t="s">
        <v>1</v>
      </c>
      <c r="E37" s="13" t="s">
        <v>5</v>
      </c>
      <c r="F37" s="22" t="s">
        <v>470</v>
      </c>
      <c r="G37" s="13" t="s">
        <v>0</v>
      </c>
      <c r="H37" s="12" t="s">
        <v>463</v>
      </c>
      <c r="I37" s="11">
        <v>2000</v>
      </c>
      <c r="J37" s="41"/>
      <c r="K37" s="9"/>
      <c r="L37" s="8">
        <f t="shared" si="0"/>
        <v>-2000</v>
      </c>
    </row>
    <row r="38" spans="1:12" ht="162" customHeight="1" thickBot="1" x14ac:dyDescent="0.3">
      <c r="A38" s="50"/>
      <c r="B38" s="24" t="s">
        <v>194</v>
      </c>
      <c r="C38" s="12" t="s">
        <v>3</v>
      </c>
      <c r="D38" s="22" t="s">
        <v>1</v>
      </c>
      <c r="E38" s="13" t="s">
        <v>195</v>
      </c>
      <c r="F38" s="22" t="s">
        <v>122</v>
      </c>
      <c r="G38" s="13" t="s">
        <v>0</v>
      </c>
      <c r="H38" s="12" t="s">
        <v>459</v>
      </c>
      <c r="I38" s="11">
        <v>1000</v>
      </c>
      <c r="J38" s="41"/>
      <c r="K38" s="9"/>
      <c r="L38" s="8">
        <f t="shared" si="0"/>
        <v>-1000</v>
      </c>
    </row>
    <row r="39" spans="1:12" ht="162" customHeight="1" thickBot="1" x14ac:dyDescent="0.3">
      <c r="A39" s="50"/>
      <c r="B39" s="24" t="s">
        <v>194</v>
      </c>
      <c r="C39" s="12" t="s">
        <v>3</v>
      </c>
      <c r="D39" s="22" t="s">
        <v>1</v>
      </c>
      <c r="E39" s="13" t="s">
        <v>195</v>
      </c>
      <c r="F39" s="22" t="s">
        <v>122</v>
      </c>
      <c r="G39" s="13" t="s">
        <v>0</v>
      </c>
      <c r="H39" s="12" t="s">
        <v>463</v>
      </c>
      <c r="I39" s="11">
        <v>3000</v>
      </c>
      <c r="J39" s="41"/>
      <c r="K39" s="9"/>
      <c r="L39" s="8">
        <f t="shared" si="0"/>
        <v>-3000</v>
      </c>
    </row>
  </sheetData>
  <autoFilter ref="A2:L39"/>
  <dataConsolidate/>
  <mergeCells count="5">
    <mergeCell ref="A1:L1"/>
    <mergeCell ref="A28:A30"/>
    <mergeCell ref="A3:A18"/>
    <mergeCell ref="A19:A27"/>
    <mergeCell ref="A31:A39"/>
  </mergeCells>
  <conditionalFormatting sqref="I2:I37 K3:L37 L38:L39">
    <cfRule type="cellIs" dxfId="8" priority="3" operator="lessThan">
      <formula>0</formula>
    </cfRule>
  </conditionalFormatting>
  <conditionalFormatting sqref="L2">
    <cfRule type="cellIs" dxfId="7" priority="2" operator="lessThan">
      <formula>0</formula>
    </cfRule>
  </conditionalFormatting>
  <conditionalFormatting sqref="I38:I39 K38:K39">
    <cfRule type="cellIs" dxfId="6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3"/>
  <sheetViews>
    <sheetView showGridLines="0" view="pageBreakPreview" topLeftCell="A10" zoomScale="20" zoomScaleNormal="15" zoomScaleSheetLayoutView="20" workbookViewId="0">
      <selection activeCell="K9" sqref="K9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49" t="s">
        <v>483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477</v>
      </c>
      <c r="B3" s="13" t="s">
        <v>136</v>
      </c>
      <c r="C3" s="12" t="s">
        <v>235</v>
      </c>
      <c r="D3" s="12" t="s">
        <v>126</v>
      </c>
      <c r="E3" s="13" t="s">
        <v>246</v>
      </c>
      <c r="F3" s="22" t="s">
        <v>122</v>
      </c>
      <c r="G3" s="13" t="s">
        <v>0</v>
      </c>
      <c r="H3" s="12" t="s">
        <v>468</v>
      </c>
      <c r="I3" s="11">
        <v>1000</v>
      </c>
      <c r="J3" s="10"/>
      <c r="K3" s="9"/>
      <c r="L3" s="8">
        <f t="shared" ref="L3:L33" si="0">K3+J3-I3</f>
        <v>-1000</v>
      </c>
    </row>
    <row r="4" spans="1:12" ht="162" customHeight="1" thickBot="1" x14ac:dyDescent="0.3">
      <c r="A4" s="47"/>
      <c r="B4" s="13" t="s">
        <v>136</v>
      </c>
      <c r="C4" s="12" t="s">
        <v>235</v>
      </c>
      <c r="D4" s="12" t="s">
        <v>126</v>
      </c>
      <c r="E4" s="13" t="s">
        <v>385</v>
      </c>
      <c r="F4" s="22" t="s">
        <v>122</v>
      </c>
      <c r="G4" s="13" t="s">
        <v>0</v>
      </c>
      <c r="H4" s="12" t="s">
        <v>468</v>
      </c>
      <c r="I4" s="11">
        <v>1000</v>
      </c>
      <c r="J4" s="10"/>
      <c r="K4" s="9"/>
      <c r="L4" s="8">
        <f t="shared" si="0"/>
        <v>-1000</v>
      </c>
    </row>
    <row r="5" spans="1:12" ht="162" customHeight="1" thickBot="1" x14ac:dyDescent="0.3">
      <c r="A5" s="47"/>
      <c r="B5" s="13" t="s">
        <v>28</v>
      </c>
      <c r="C5" s="12" t="s">
        <v>34</v>
      </c>
      <c r="D5" s="12" t="s">
        <v>24</v>
      </c>
      <c r="E5" s="13" t="s">
        <v>33</v>
      </c>
      <c r="F5" s="22" t="s">
        <v>4</v>
      </c>
      <c r="G5" s="13" t="s">
        <v>0</v>
      </c>
      <c r="H5" s="12" t="s">
        <v>463</v>
      </c>
      <c r="I5" s="11">
        <v>8184</v>
      </c>
      <c r="J5" s="10"/>
      <c r="K5" s="9"/>
      <c r="L5" s="8">
        <f t="shared" si="0"/>
        <v>-8184</v>
      </c>
    </row>
    <row r="6" spans="1:12" ht="162" customHeight="1" thickBot="1" x14ac:dyDescent="0.3">
      <c r="A6" s="47"/>
      <c r="B6" s="13" t="s">
        <v>95</v>
      </c>
      <c r="C6" s="12" t="s">
        <v>15</v>
      </c>
      <c r="D6" s="12" t="s">
        <v>24</v>
      </c>
      <c r="E6" s="13" t="s">
        <v>362</v>
      </c>
      <c r="F6" s="22" t="s">
        <v>4</v>
      </c>
      <c r="G6" s="13" t="s">
        <v>0</v>
      </c>
      <c r="H6" s="12" t="s">
        <v>463</v>
      </c>
      <c r="I6" s="11">
        <v>992</v>
      </c>
      <c r="J6" s="10"/>
      <c r="K6" s="9"/>
      <c r="L6" s="8">
        <f t="shared" si="0"/>
        <v>-992</v>
      </c>
    </row>
    <row r="7" spans="1:12" ht="162" customHeight="1" thickBot="1" x14ac:dyDescent="0.3">
      <c r="A7" s="47"/>
      <c r="B7" s="13" t="s">
        <v>95</v>
      </c>
      <c r="C7" s="12" t="s">
        <v>15</v>
      </c>
      <c r="D7" s="12" t="s">
        <v>24</v>
      </c>
      <c r="E7" s="13" t="s">
        <v>96</v>
      </c>
      <c r="F7" s="22" t="s">
        <v>4</v>
      </c>
      <c r="G7" s="13" t="s">
        <v>0</v>
      </c>
      <c r="H7" s="12" t="s">
        <v>463</v>
      </c>
      <c r="I7" s="11">
        <v>1204</v>
      </c>
      <c r="J7" s="10"/>
      <c r="K7" s="9"/>
      <c r="L7" s="8">
        <f t="shared" si="0"/>
        <v>-1204</v>
      </c>
    </row>
    <row r="8" spans="1:12" ht="162" customHeight="1" thickBot="1" x14ac:dyDescent="0.3">
      <c r="A8" s="47"/>
      <c r="B8" s="13" t="s">
        <v>38</v>
      </c>
      <c r="C8" s="12" t="s">
        <v>27</v>
      </c>
      <c r="D8" s="12" t="s">
        <v>24</v>
      </c>
      <c r="E8" s="13" t="s">
        <v>55</v>
      </c>
      <c r="F8" s="22" t="s">
        <v>9</v>
      </c>
      <c r="G8" s="13" t="s">
        <v>0</v>
      </c>
      <c r="H8" s="12" t="s">
        <v>468</v>
      </c>
      <c r="I8" s="11">
        <v>1800</v>
      </c>
      <c r="J8" s="10"/>
      <c r="K8" s="9"/>
      <c r="L8" s="8">
        <f t="shared" si="0"/>
        <v>-1800</v>
      </c>
    </row>
    <row r="9" spans="1:12" ht="162" customHeight="1" thickBot="1" x14ac:dyDescent="0.3">
      <c r="A9" s="47"/>
      <c r="B9" s="13" t="s">
        <v>38</v>
      </c>
      <c r="C9" s="12" t="s">
        <v>27</v>
      </c>
      <c r="D9" s="12" t="s">
        <v>24</v>
      </c>
      <c r="E9" s="13" t="s">
        <v>197</v>
      </c>
      <c r="F9" s="22" t="s">
        <v>4</v>
      </c>
      <c r="G9" s="13" t="s">
        <v>0</v>
      </c>
      <c r="H9" s="12" t="s">
        <v>463</v>
      </c>
      <c r="I9" s="11">
        <v>7409</v>
      </c>
      <c r="J9" s="10"/>
      <c r="K9" s="9"/>
      <c r="L9" s="8">
        <f t="shared" si="0"/>
        <v>-7409</v>
      </c>
    </row>
    <row r="10" spans="1:12" ht="162" customHeight="1" thickBot="1" x14ac:dyDescent="0.3">
      <c r="A10" s="47"/>
      <c r="B10" s="13" t="s">
        <v>29</v>
      </c>
      <c r="C10" s="12" t="s">
        <v>125</v>
      </c>
      <c r="D10" s="12" t="s">
        <v>24</v>
      </c>
      <c r="E10" s="13" t="s">
        <v>478</v>
      </c>
      <c r="F10" s="22" t="s">
        <v>4</v>
      </c>
      <c r="G10" s="13" t="s">
        <v>37</v>
      </c>
      <c r="H10" s="12" t="s">
        <v>463</v>
      </c>
      <c r="I10" s="11">
        <v>500</v>
      </c>
      <c r="J10" s="10"/>
      <c r="K10" s="9"/>
      <c r="L10" s="8">
        <f t="shared" si="0"/>
        <v>-500</v>
      </c>
    </row>
    <row r="11" spans="1:12" ht="162" customHeight="1" thickBot="1" x14ac:dyDescent="0.3">
      <c r="A11" s="47"/>
      <c r="B11" s="13" t="s">
        <v>371</v>
      </c>
      <c r="C11" s="12" t="s">
        <v>113</v>
      </c>
      <c r="D11" s="12" t="s">
        <v>24</v>
      </c>
      <c r="E11" s="13" t="s">
        <v>114</v>
      </c>
      <c r="F11" s="22" t="s">
        <v>4</v>
      </c>
      <c r="G11" s="13" t="s">
        <v>0</v>
      </c>
      <c r="H11" s="12" t="s">
        <v>463</v>
      </c>
      <c r="I11" s="11">
        <v>1410</v>
      </c>
      <c r="J11" s="10"/>
      <c r="K11" s="9"/>
      <c r="L11" s="8">
        <f t="shared" si="0"/>
        <v>-1410</v>
      </c>
    </row>
    <row r="12" spans="1:12" ht="162" customHeight="1" thickBot="1" x14ac:dyDescent="0.3">
      <c r="A12" s="47"/>
      <c r="B12" s="13" t="s">
        <v>371</v>
      </c>
      <c r="C12" s="12" t="s">
        <v>113</v>
      </c>
      <c r="D12" s="12" t="s">
        <v>24</v>
      </c>
      <c r="E12" s="13" t="s">
        <v>170</v>
      </c>
      <c r="F12" s="22" t="s">
        <v>4</v>
      </c>
      <c r="G12" s="13" t="s">
        <v>0</v>
      </c>
      <c r="H12" s="12" t="s">
        <v>463</v>
      </c>
      <c r="I12" s="11">
        <v>590</v>
      </c>
      <c r="J12" s="10"/>
      <c r="K12" s="9"/>
      <c r="L12" s="8">
        <f t="shared" si="0"/>
        <v>-590</v>
      </c>
    </row>
    <row r="13" spans="1:12" ht="162" customHeight="1" thickBot="1" x14ac:dyDescent="0.3">
      <c r="A13" s="47"/>
      <c r="B13" s="13" t="s">
        <v>32</v>
      </c>
      <c r="C13" s="12" t="s">
        <v>31</v>
      </c>
      <c r="D13" s="12" t="s">
        <v>24</v>
      </c>
      <c r="E13" s="13" t="s">
        <v>80</v>
      </c>
      <c r="F13" s="22" t="s">
        <v>9</v>
      </c>
      <c r="G13" s="13" t="s">
        <v>0</v>
      </c>
      <c r="H13" s="12" t="s">
        <v>468</v>
      </c>
      <c r="I13" s="11">
        <v>2450</v>
      </c>
      <c r="J13" s="10"/>
      <c r="K13" s="9"/>
      <c r="L13" s="8">
        <f t="shared" si="0"/>
        <v>-2450</v>
      </c>
    </row>
    <row r="14" spans="1:12" ht="162" customHeight="1" thickBot="1" x14ac:dyDescent="0.3">
      <c r="A14" s="47"/>
      <c r="B14" s="13" t="s">
        <v>40</v>
      </c>
      <c r="C14" s="12" t="s">
        <v>479</v>
      </c>
      <c r="D14" s="12" t="s">
        <v>24</v>
      </c>
      <c r="E14" s="13" t="s">
        <v>480</v>
      </c>
      <c r="F14" s="22" t="s">
        <v>4</v>
      </c>
      <c r="G14" s="13" t="s">
        <v>37</v>
      </c>
      <c r="H14" s="12" t="s">
        <v>468</v>
      </c>
      <c r="I14" s="11">
        <v>103</v>
      </c>
      <c r="J14" s="10"/>
      <c r="K14" s="9"/>
      <c r="L14" s="8">
        <f t="shared" si="0"/>
        <v>-103</v>
      </c>
    </row>
    <row r="15" spans="1:12" ht="162" customHeight="1" thickBot="1" x14ac:dyDescent="0.3">
      <c r="A15" s="47"/>
      <c r="B15" s="13" t="s">
        <v>40</v>
      </c>
      <c r="C15" s="12" t="s">
        <v>479</v>
      </c>
      <c r="D15" s="12" t="s">
        <v>24</v>
      </c>
      <c r="E15" s="13" t="s">
        <v>481</v>
      </c>
      <c r="F15" s="22" t="s">
        <v>4</v>
      </c>
      <c r="G15" s="13" t="s">
        <v>37</v>
      </c>
      <c r="H15" s="12" t="s">
        <v>468</v>
      </c>
      <c r="I15" s="11">
        <v>600</v>
      </c>
      <c r="J15" s="10"/>
      <c r="K15" s="9"/>
      <c r="L15" s="8">
        <f t="shared" si="0"/>
        <v>-600</v>
      </c>
    </row>
    <row r="16" spans="1:12" ht="162" customHeight="1" thickBot="1" x14ac:dyDescent="0.3">
      <c r="A16" s="47"/>
      <c r="B16" s="13" t="s">
        <v>40</v>
      </c>
      <c r="C16" s="12" t="s">
        <v>479</v>
      </c>
      <c r="D16" s="12" t="s">
        <v>24</v>
      </c>
      <c r="E16" s="13" t="s">
        <v>395</v>
      </c>
      <c r="F16" s="22" t="s">
        <v>4</v>
      </c>
      <c r="G16" s="13" t="s">
        <v>37</v>
      </c>
      <c r="H16" s="12" t="s">
        <v>468</v>
      </c>
      <c r="I16" s="11">
        <v>262</v>
      </c>
      <c r="J16" s="10"/>
      <c r="K16" s="9"/>
      <c r="L16" s="8">
        <f t="shared" si="0"/>
        <v>-262</v>
      </c>
    </row>
    <row r="17" spans="1:12" ht="162" customHeight="1" thickBot="1" x14ac:dyDescent="0.3">
      <c r="A17" s="48"/>
      <c r="B17" s="13" t="s">
        <v>40</v>
      </c>
      <c r="C17" s="12" t="s">
        <v>479</v>
      </c>
      <c r="D17" s="12" t="s">
        <v>24</v>
      </c>
      <c r="E17" s="13" t="s">
        <v>482</v>
      </c>
      <c r="F17" s="22" t="s">
        <v>4</v>
      </c>
      <c r="G17" s="13" t="s">
        <v>37</v>
      </c>
      <c r="H17" s="12" t="s">
        <v>468</v>
      </c>
      <c r="I17" s="11">
        <v>600</v>
      </c>
      <c r="J17" s="10"/>
      <c r="K17" s="9"/>
      <c r="L17" s="8">
        <f t="shared" si="0"/>
        <v>-600</v>
      </c>
    </row>
    <row r="18" spans="1:12" ht="162" customHeight="1" thickBot="1" x14ac:dyDescent="0.3">
      <c r="A18" s="46" t="s">
        <v>274</v>
      </c>
      <c r="B18" s="13" t="s">
        <v>28</v>
      </c>
      <c r="C18" s="12" t="s">
        <v>34</v>
      </c>
      <c r="D18" s="12" t="s">
        <v>24</v>
      </c>
      <c r="E18" s="13" t="s">
        <v>33</v>
      </c>
      <c r="F18" s="22" t="s">
        <v>4</v>
      </c>
      <c r="G18" s="13" t="s">
        <v>0</v>
      </c>
      <c r="H18" s="12" t="s">
        <v>463</v>
      </c>
      <c r="I18" s="11">
        <v>2500</v>
      </c>
      <c r="J18" s="10"/>
      <c r="K18" s="9"/>
      <c r="L18" s="8">
        <f t="shared" si="0"/>
        <v>-2500</v>
      </c>
    </row>
    <row r="19" spans="1:12" ht="162" customHeight="1" thickBot="1" x14ac:dyDescent="0.3">
      <c r="A19" s="47"/>
      <c r="B19" s="13" t="s">
        <v>28</v>
      </c>
      <c r="C19" s="12" t="s">
        <v>34</v>
      </c>
      <c r="D19" s="12" t="s">
        <v>24</v>
      </c>
      <c r="E19" s="13" t="s">
        <v>33</v>
      </c>
      <c r="F19" s="22" t="s">
        <v>4</v>
      </c>
      <c r="G19" s="13" t="s">
        <v>0</v>
      </c>
      <c r="H19" s="12" t="s">
        <v>463</v>
      </c>
      <c r="I19" s="11">
        <v>2500</v>
      </c>
      <c r="J19" s="10"/>
      <c r="K19" s="9"/>
      <c r="L19" s="8">
        <f t="shared" si="0"/>
        <v>-2500</v>
      </c>
    </row>
    <row r="20" spans="1:12" ht="162" customHeight="1" thickBot="1" x14ac:dyDescent="0.3">
      <c r="A20" s="47"/>
      <c r="B20" s="13" t="s">
        <v>61</v>
      </c>
      <c r="C20" s="12" t="s">
        <v>31</v>
      </c>
      <c r="D20" s="12" t="s">
        <v>24</v>
      </c>
      <c r="E20" s="13" t="s">
        <v>116</v>
      </c>
      <c r="F20" s="22" t="s">
        <v>9</v>
      </c>
      <c r="G20" s="13" t="s">
        <v>0</v>
      </c>
      <c r="H20" s="12" t="s">
        <v>468</v>
      </c>
      <c r="I20" s="11">
        <v>1630</v>
      </c>
      <c r="J20" s="10"/>
      <c r="K20" s="9"/>
      <c r="L20" s="8">
        <f t="shared" si="0"/>
        <v>-1630</v>
      </c>
    </row>
    <row r="21" spans="1:12" ht="162" customHeight="1" thickBot="1" x14ac:dyDescent="0.3">
      <c r="A21" s="47"/>
      <c r="B21" s="13" t="s">
        <v>32</v>
      </c>
      <c r="C21" s="12" t="s">
        <v>31</v>
      </c>
      <c r="D21" s="12" t="s">
        <v>24</v>
      </c>
      <c r="E21" s="13" t="s">
        <v>80</v>
      </c>
      <c r="F21" s="22" t="s">
        <v>9</v>
      </c>
      <c r="G21" s="13" t="s">
        <v>0</v>
      </c>
      <c r="H21" s="12" t="s">
        <v>468</v>
      </c>
      <c r="I21" s="11">
        <v>1450</v>
      </c>
      <c r="J21" s="10"/>
      <c r="K21" s="9"/>
      <c r="L21" s="8">
        <f t="shared" si="0"/>
        <v>-1450</v>
      </c>
    </row>
    <row r="22" spans="1:12" ht="162" customHeight="1" thickBot="1" x14ac:dyDescent="0.3">
      <c r="A22" s="47"/>
      <c r="B22" s="13" t="s">
        <v>223</v>
      </c>
      <c r="C22" s="12" t="s">
        <v>27</v>
      </c>
      <c r="D22" s="12" t="s">
        <v>24</v>
      </c>
      <c r="E22" s="13" t="s">
        <v>55</v>
      </c>
      <c r="F22" s="22" t="s">
        <v>9</v>
      </c>
      <c r="G22" s="13" t="s">
        <v>0</v>
      </c>
      <c r="H22" s="12" t="s">
        <v>468</v>
      </c>
      <c r="I22" s="11">
        <v>1800</v>
      </c>
      <c r="J22" s="10"/>
      <c r="K22" s="9"/>
      <c r="L22" s="8">
        <f t="shared" si="0"/>
        <v>-1800</v>
      </c>
    </row>
    <row r="23" spans="1:12" ht="162" customHeight="1" thickBot="1" x14ac:dyDescent="0.3">
      <c r="A23" s="47"/>
      <c r="B23" s="13" t="s">
        <v>284</v>
      </c>
      <c r="C23" s="12" t="s">
        <v>113</v>
      </c>
      <c r="D23" s="12" t="s">
        <v>24</v>
      </c>
      <c r="E23" s="13" t="s">
        <v>114</v>
      </c>
      <c r="F23" s="22" t="s">
        <v>4</v>
      </c>
      <c r="G23" s="13" t="s">
        <v>0</v>
      </c>
      <c r="H23" s="12" t="s">
        <v>463</v>
      </c>
      <c r="I23" s="11">
        <v>1910</v>
      </c>
      <c r="J23" s="10"/>
      <c r="K23" s="9"/>
      <c r="L23" s="8">
        <f t="shared" si="0"/>
        <v>-1910</v>
      </c>
    </row>
    <row r="24" spans="1:12" ht="162" customHeight="1" thickBot="1" x14ac:dyDescent="0.3">
      <c r="A24" s="47"/>
      <c r="B24" s="13" t="s">
        <v>95</v>
      </c>
      <c r="C24" s="12" t="s">
        <v>15</v>
      </c>
      <c r="D24" s="12" t="s">
        <v>24</v>
      </c>
      <c r="E24" s="13" t="s">
        <v>96</v>
      </c>
      <c r="F24" s="22" t="s">
        <v>4</v>
      </c>
      <c r="G24" s="13" t="s">
        <v>0</v>
      </c>
      <c r="H24" s="12" t="s">
        <v>463</v>
      </c>
      <c r="I24" s="11">
        <v>1204</v>
      </c>
      <c r="J24" s="10"/>
      <c r="K24" s="9"/>
      <c r="L24" s="8">
        <f t="shared" si="0"/>
        <v>-1204</v>
      </c>
    </row>
    <row r="25" spans="1:12" ht="162" customHeight="1" thickBot="1" x14ac:dyDescent="0.3">
      <c r="A25" s="47"/>
      <c r="B25" s="13" t="s">
        <v>38</v>
      </c>
      <c r="C25" s="12" t="s">
        <v>27</v>
      </c>
      <c r="D25" s="12" t="s">
        <v>24</v>
      </c>
      <c r="E25" s="13" t="s">
        <v>197</v>
      </c>
      <c r="F25" s="22" t="s">
        <v>4</v>
      </c>
      <c r="G25" s="13" t="s">
        <v>0</v>
      </c>
      <c r="H25" s="12" t="s">
        <v>463</v>
      </c>
      <c r="I25" s="11">
        <v>3000</v>
      </c>
      <c r="J25" s="10"/>
      <c r="K25" s="9"/>
      <c r="L25" s="8">
        <f t="shared" si="0"/>
        <v>-3000</v>
      </c>
    </row>
    <row r="26" spans="1:12" ht="162" customHeight="1" thickBot="1" x14ac:dyDescent="0.3">
      <c r="A26" s="48"/>
      <c r="B26" s="13" t="s">
        <v>77</v>
      </c>
      <c r="C26" s="12" t="s">
        <v>27</v>
      </c>
      <c r="D26" s="12" t="s">
        <v>24</v>
      </c>
      <c r="E26" s="13" t="s">
        <v>197</v>
      </c>
      <c r="F26" s="22" t="s">
        <v>4</v>
      </c>
      <c r="G26" s="13" t="s">
        <v>0</v>
      </c>
      <c r="H26" s="12" t="s">
        <v>463</v>
      </c>
      <c r="I26" s="11">
        <v>2000</v>
      </c>
      <c r="J26" s="10"/>
      <c r="K26" s="9"/>
      <c r="L26" s="8">
        <f t="shared" si="0"/>
        <v>-2000</v>
      </c>
    </row>
    <row r="27" spans="1:12" ht="162" customHeight="1" thickBot="1" x14ac:dyDescent="0.3">
      <c r="A27" s="46" t="s">
        <v>23</v>
      </c>
      <c r="B27" s="13" t="s">
        <v>223</v>
      </c>
      <c r="C27" s="12" t="s">
        <v>17</v>
      </c>
      <c r="D27" s="12" t="s">
        <v>311</v>
      </c>
      <c r="E27" s="13" t="s">
        <v>312</v>
      </c>
      <c r="F27" s="22" t="s">
        <v>122</v>
      </c>
      <c r="G27" s="13" t="s">
        <v>0</v>
      </c>
      <c r="H27" s="12" t="s">
        <v>463</v>
      </c>
      <c r="I27" s="11">
        <v>1500</v>
      </c>
      <c r="J27" s="10"/>
      <c r="K27" s="9"/>
      <c r="L27" s="8">
        <f t="shared" si="0"/>
        <v>-1500</v>
      </c>
    </row>
    <row r="28" spans="1:12" ht="162" customHeight="1" thickBot="1" x14ac:dyDescent="0.3">
      <c r="A28" s="48"/>
      <c r="B28" s="24" t="s">
        <v>12</v>
      </c>
      <c r="C28" s="12" t="s">
        <v>6</v>
      </c>
      <c r="D28" s="22" t="s">
        <v>20</v>
      </c>
      <c r="E28" s="13" t="s">
        <v>22</v>
      </c>
      <c r="F28" s="22" t="s">
        <v>4</v>
      </c>
      <c r="G28" s="13" t="s">
        <v>0</v>
      </c>
      <c r="H28" s="12" t="s">
        <v>463</v>
      </c>
      <c r="I28" s="11">
        <v>5000</v>
      </c>
      <c r="J28" s="41"/>
      <c r="K28" s="9"/>
      <c r="L28" s="8">
        <f t="shared" si="0"/>
        <v>-5000</v>
      </c>
    </row>
    <row r="29" spans="1:12" ht="162" customHeight="1" thickBot="1" x14ac:dyDescent="0.3">
      <c r="A29" s="44" t="s">
        <v>60</v>
      </c>
      <c r="B29" s="24" t="s">
        <v>104</v>
      </c>
      <c r="C29" s="12" t="s">
        <v>105</v>
      </c>
      <c r="D29" s="22" t="s">
        <v>60</v>
      </c>
      <c r="E29" s="13" t="s">
        <v>383</v>
      </c>
      <c r="F29" s="22" t="s">
        <v>64</v>
      </c>
      <c r="G29" s="13" t="s">
        <v>37</v>
      </c>
      <c r="H29" s="12" t="s">
        <v>437</v>
      </c>
      <c r="I29" s="11">
        <v>3</v>
      </c>
      <c r="J29" s="41"/>
      <c r="K29" s="9"/>
      <c r="L29" s="8">
        <f t="shared" si="0"/>
        <v>-3</v>
      </c>
    </row>
    <row r="30" spans="1:12" ht="162" customHeight="1" thickBot="1" x14ac:dyDescent="0.3">
      <c r="A30" s="46" t="s">
        <v>484</v>
      </c>
      <c r="B30" s="24" t="s">
        <v>7</v>
      </c>
      <c r="C30" s="12" t="s">
        <v>15</v>
      </c>
      <c r="D30" s="22" t="s">
        <v>14</v>
      </c>
      <c r="E30" s="13" t="s">
        <v>13</v>
      </c>
      <c r="F30" s="22" t="s">
        <v>4</v>
      </c>
      <c r="G30" s="13" t="s">
        <v>0</v>
      </c>
      <c r="H30" s="12" t="s">
        <v>463</v>
      </c>
      <c r="I30" s="11">
        <v>3000</v>
      </c>
      <c r="J30" s="41"/>
      <c r="K30" s="9"/>
      <c r="L30" s="8">
        <f t="shared" si="0"/>
        <v>-3000</v>
      </c>
    </row>
    <row r="31" spans="1:12" ht="162" customHeight="1" thickBot="1" x14ac:dyDescent="0.3">
      <c r="A31" s="47"/>
      <c r="B31" s="24" t="s">
        <v>12</v>
      </c>
      <c r="C31" s="12" t="s">
        <v>3</v>
      </c>
      <c r="D31" s="22" t="s">
        <v>11</v>
      </c>
      <c r="E31" s="13" t="s">
        <v>10</v>
      </c>
      <c r="F31" s="22" t="s">
        <v>4</v>
      </c>
      <c r="G31" s="13" t="s">
        <v>0</v>
      </c>
      <c r="H31" s="12" t="s">
        <v>463</v>
      </c>
      <c r="I31" s="11">
        <v>2000</v>
      </c>
      <c r="J31" s="41"/>
      <c r="K31" s="9"/>
      <c r="L31" s="8">
        <f t="shared" si="0"/>
        <v>-2000</v>
      </c>
    </row>
    <row r="32" spans="1:12" ht="162" customHeight="1" thickBot="1" x14ac:dyDescent="0.3">
      <c r="A32" s="47"/>
      <c r="B32" s="24" t="s">
        <v>7</v>
      </c>
      <c r="C32" s="12" t="s">
        <v>6</v>
      </c>
      <c r="D32" s="22" t="s">
        <v>1</v>
      </c>
      <c r="E32" s="13" t="s">
        <v>5</v>
      </c>
      <c r="F32" s="22" t="s">
        <v>4</v>
      </c>
      <c r="G32" s="13" t="s">
        <v>0</v>
      </c>
      <c r="H32" s="12" t="s">
        <v>463</v>
      </c>
      <c r="I32" s="11">
        <v>3000</v>
      </c>
      <c r="J32" s="41"/>
      <c r="K32" s="9"/>
      <c r="L32" s="8">
        <f t="shared" si="0"/>
        <v>-3000</v>
      </c>
    </row>
    <row r="33" spans="1:12" ht="162" customHeight="1" thickBot="1" x14ac:dyDescent="0.3">
      <c r="A33" s="48"/>
      <c r="B33" s="24" t="s">
        <v>194</v>
      </c>
      <c r="C33" s="12" t="s">
        <v>118</v>
      </c>
      <c r="D33" s="22" t="s">
        <v>1</v>
      </c>
      <c r="E33" s="13" t="s">
        <v>216</v>
      </c>
      <c r="F33" s="22" t="s">
        <v>122</v>
      </c>
      <c r="G33" s="13" t="s">
        <v>0</v>
      </c>
      <c r="H33" s="12" t="s">
        <v>463</v>
      </c>
      <c r="I33" s="11">
        <v>1000</v>
      </c>
      <c r="J33" s="41"/>
      <c r="K33" s="9"/>
      <c r="L33" s="8">
        <f t="shared" si="0"/>
        <v>-1000</v>
      </c>
    </row>
  </sheetData>
  <autoFilter ref="A2:L33"/>
  <dataConsolidate/>
  <mergeCells count="5">
    <mergeCell ref="A1:L1"/>
    <mergeCell ref="A3:A17"/>
    <mergeCell ref="A18:A26"/>
    <mergeCell ref="A27:A28"/>
    <mergeCell ref="A30:A33"/>
  </mergeCells>
  <conditionalFormatting sqref="I2:I33 K3:L33">
    <cfRule type="cellIs" dxfId="5" priority="3" operator="lessThan">
      <formula>0</formula>
    </cfRule>
  </conditionalFormatting>
  <conditionalFormatting sqref="L2">
    <cfRule type="cellIs" dxfId="4" priority="2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37"/>
  <sheetViews>
    <sheetView showGridLines="0" tabSelected="1" view="pageBreakPreview" topLeftCell="A16" zoomScale="20" zoomScaleNormal="15" zoomScaleSheetLayoutView="20" workbookViewId="0">
      <selection activeCell="K34" sqref="K34"/>
    </sheetView>
  </sheetViews>
  <sheetFormatPr defaultColWidth="11.42578125" defaultRowHeight="15.75" x14ac:dyDescent="0.25"/>
  <cols>
    <col min="1" max="1" width="55.7109375" style="7" customWidth="1"/>
    <col min="2" max="2" width="70.5703125" style="5" customWidth="1"/>
    <col min="3" max="3" width="43.140625" style="7" customWidth="1"/>
    <col min="4" max="4" width="50.140625" style="6" customWidth="1"/>
    <col min="5" max="5" width="83" style="5" customWidth="1"/>
    <col min="6" max="6" width="58.7109375" style="6" customWidth="1"/>
    <col min="7" max="7" width="62.140625" style="5" customWidth="1"/>
    <col min="8" max="8" width="52.85546875" style="5" customWidth="1"/>
    <col min="9" max="9" width="50.5703125" style="5" customWidth="1"/>
    <col min="10" max="10" width="54.7109375" style="4" customWidth="1"/>
    <col min="11" max="11" width="143.42578125" style="3" customWidth="1"/>
    <col min="12" max="12" width="48.42578125" style="2" customWidth="1"/>
    <col min="13" max="16384" width="11.42578125" style="1"/>
  </cols>
  <sheetData>
    <row r="1" spans="1:12" s="20" customFormat="1" ht="154.5" customHeight="1" thickBot="1" x14ac:dyDescent="0.9">
      <c r="A1" s="54" t="s">
        <v>493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ht="143.25" customHeight="1" thickBot="1" x14ac:dyDescent="0.3">
      <c r="A2" s="19" t="s">
        <v>53</v>
      </c>
      <c r="B2" s="18" t="s">
        <v>52</v>
      </c>
      <c r="C2" s="17" t="s">
        <v>51</v>
      </c>
      <c r="D2" s="17" t="s">
        <v>50</v>
      </c>
      <c r="E2" s="16" t="s">
        <v>49</v>
      </c>
      <c r="F2" s="17" t="s">
        <v>48</v>
      </c>
      <c r="G2" s="16" t="s">
        <v>47</v>
      </c>
      <c r="H2" s="17" t="s">
        <v>46</v>
      </c>
      <c r="I2" s="16" t="s">
        <v>45</v>
      </c>
      <c r="J2" s="10" t="s">
        <v>44</v>
      </c>
      <c r="K2" s="15" t="s">
        <v>43</v>
      </c>
      <c r="L2" s="14" t="s">
        <v>42</v>
      </c>
    </row>
    <row r="3" spans="1:12" ht="162" customHeight="1" thickBot="1" x14ac:dyDescent="0.3">
      <c r="A3" s="46" t="s">
        <v>41</v>
      </c>
      <c r="B3" s="13" t="s">
        <v>136</v>
      </c>
      <c r="C3" s="12" t="s">
        <v>3</v>
      </c>
      <c r="D3" s="12" t="s">
        <v>126</v>
      </c>
      <c r="E3" s="13" t="s">
        <v>422</v>
      </c>
      <c r="F3" s="22" t="s">
        <v>122</v>
      </c>
      <c r="G3" s="13" t="s">
        <v>0</v>
      </c>
      <c r="H3" s="12" t="s">
        <v>468</v>
      </c>
      <c r="I3" s="11">
        <v>1000</v>
      </c>
      <c r="J3" s="10"/>
      <c r="K3" s="9"/>
      <c r="L3" s="8">
        <f t="shared" ref="L3:L37" si="0">K3+J3-I3</f>
        <v>-1000</v>
      </c>
    </row>
    <row r="4" spans="1:12" ht="162" customHeight="1" thickBot="1" x14ac:dyDescent="0.3">
      <c r="A4" s="47"/>
      <c r="B4" s="13" t="s">
        <v>136</v>
      </c>
      <c r="C4" s="12" t="s">
        <v>3</v>
      </c>
      <c r="D4" s="12" t="s">
        <v>126</v>
      </c>
      <c r="E4" s="13" t="s">
        <v>392</v>
      </c>
      <c r="F4" s="22" t="s">
        <v>122</v>
      </c>
      <c r="G4" s="13" t="s">
        <v>0</v>
      </c>
      <c r="H4" s="12" t="s">
        <v>468</v>
      </c>
      <c r="I4" s="11">
        <v>2000</v>
      </c>
      <c r="J4" s="10">
        <v>1000</v>
      </c>
      <c r="K4" s="9"/>
      <c r="L4" s="8">
        <f t="shared" si="0"/>
        <v>-1000</v>
      </c>
    </row>
    <row r="5" spans="1:12" ht="162" customHeight="1" thickBot="1" x14ac:dyDescent="0.3">
      <c r="A5" s="47"/>
      <c r="B5" s="13" t="s">
        <v>136</v>
      </c>
      <c r="C5" s="12" t="s">
        <v>3</v>
      </c>
      <c r="D5" s="12" t="s">
        <v>126</v>
      </c>
      <c r="E5" s="13" t="s">
        <v>392</v>
      </c>
      <c r="F5" s="22" t="s">
        <v>122</v>
      </c>
      <c r="G5" s="13" t="s">
        <v>0</v>
      </c>
      <c r="H5" s="12" t="s">
        <v>485</v>
      </c>
      <c r="I5" s="11">
        <v>2000</v>
      </c>
      <c r="J5" s="10"/>
      <c r="K5" s="9"/>
      <c r="L5" s="8">
        <f t="shared" si="0"/>
        <v>-2000</v>
      </c>
    </row>
    <row r="6" spans="1:12" ht="162" customHeight="1" thickBot="1" x14ac:dyDescent="0.3">
      <c r="A6" s="47"/>
      <c r="B6" s="13" t="s">
        <v>28</v>
      </c>
      <c r="C6" s="12" t="s">
        <v>34</v>
      </c>
      <c r="D6" s="12" t="s">
        <v>24</v>
      </c>
      <c r="E6" s="13" t="s">
        <v>33</v>
      </c>
      <c r="F6" s="22" t="s">
        <v>4</v>
      </c>
      <c r="G6" s="13" t="s">
        <v>0</v>
      </c>
      <c r="H6" s="12" t="s">
        <v>468</v>
      </c>
      <c r="I6" s="11">
        <v>3000</v>
      </c>
      <c r="J6" s="10">
        <v>1000</v>
      </c>
      <c r="K6" s="9"/>
      <c r="L6" s="8">
        <f t="shared" si="0"/>
        <v>-2000</v>
      </c>
    </row>
    <row r="7" spans="1:12" ht="162" customHeight="1" thickBot="1" x14ac:dyDescent="0.3">
      <c r="A7" s="47"/>
      <c r="B7" s="13" t="s">
        <v>95</v>
      </c>
      <c r="C7" s="12" t="s">
        <v>15</v>
      </c>
      <c r="D7" s="12" t="s">
        <v>24</v>
      </c>
      <c r="E7" s="13" t="s">
        <v>362</v>
      </c>
      <c r="F7" s="22" t="s">
        <v>4</v>
      </c>
      <c r="G7" s="13" t="s">
        <v>0</v>
      </c>
      <c r="H7" s="12" t="s">
        <v>468</v>
      </c>
      <c r="I7" s="11">
        <v>1000</v>
      </c>
      <c r="J7" s="10">
        <v>500</v>
      </c>
      <c r="K7" s="9"/>
      <c r="L7" s="8">
        <f t="shared" si="0"/>
        <v>-500</v>
      </c>
    </row>
    <row r="8" spans="1:12" ht="162" customHeight="1" thickBot="1" x14ac:dyDescent="0.3">
      <c r="A8" s="47"/>
      <c r="B8" s="13" t="s">
        <v>95</v>
      </c>
      <c r="C8" s="12" t="s">
        <v>15</v>
      </c>
      <c r="D8" s="12" t="s">
        <v>24</v>
      </c>
      <c r="E8" s="13" t="s">
        <v>96</v>
      </c>
      <c r="F8" s="22" t="s">
        <v>4</v>
      </c>
      <c r="G8" s="13" t="s">
        <v>0</v>
      </c>
      <c r="H8" s="12" t="s">
        <v>468</v>
      </c>
      <c r="I8" s="11">
        <v>576</v>
      </c>
      <c r="J8" s="10"/>
      <c r="K8" s="9"/>
      <c r="L8" s="8">
        <f t="shared" si="0"/>
        <v>-576</v>
      </c>
    </row>
    <row r="9" spans="1:12" ht="162" customHeight="1" thickBot="1" x14ac:dyDescent="0.3">
      <c r="A9" s="47"/>
      <c r="B9" s="13" t="s">
        <v>38</v>
      </c>
      <c r="C9" s="12" t="s">
        <v>27</v>
      </c>
      <c r="D9" s="12" t="s">
        <v>24</v>
      </c>
      <c r="E9" s="13" t="s">
        <v>39</v>
      </c>
      <c r="F9" s="22" t="s">
        <v>4</v>
      </c>
      <c r="G9" s="13" t="s">
        <v>0</v>
      </c>
      <c r="H9" s="12" t="s">
        <v>468</v>
      </c>
      <c r="I9" s="11">
        <v>1200</v>
      </c>
      <c r="J9" s="10"/>
      <c r="K9" s="9"/>
      <c r="L9" s="8">
        <f t="shared" si="0"/>
        <v>-1200</v>
      </c>
    </row>
    <row r="10" spans="1:12" ht="162" customHeight="1" thickBot="1" x14ac:dyDescent="0.3">
      <c r="A10" s="47"/>
      <c r="B10" s="13" t="s">
        <v>38</v>
      </c>
      <c r="C10" s="12" t="s">
        <v>27</v>
      </c>
      <c r="D10" s="12" t="s">
        <v>24</v>
      </c>
      <c r="E10" s="13" t="s">
        <v>197</v>
      </c>
      <c r="F10" s="22" t="s">
        <v>4</v>
      </c>
      <c r="G10" s="13" t="s">
        <v>0</v>
      </c>
      <c r="H10" s="12" t="s">
        <v>468</v>
      </c>
      <c r="I10" s="11">
        <v>2061</v>
      </c>
      <c r="J10" s="10">
        <v>1000</v>
      </c>
      <c r="K10" s="9"/>
      <c r="L10" s="8">
        <f t="shared" si="0"/>
        <v>-1061</v>
      </c>
    </row>
    <row r="11" spans="1:12" ht="162" customHeight="1" thickBot="1" x14ac:dyDescent="0.3">
      <c r="A11" s="47"/>
      <c r="B11" s="13" t="s">
        <v>38</v>
      </c>
      <c r="C11" s="12" t="s">
        <v>27</v>
      </c>
      <c r="D11" s="12" t="s">
        <v>24</v>
      </c>
      <c r="E11" s="13" t="s">
        <v>197</v>
      </c>
      <c r="F11" s="22" t="s">
        <v>9</v>
      </c>
      <c r="G11" s="13" t="s">
        <v>8</v>
      </c>
      <c r="H11" s="12" t="s">
        <v>485</v>
      </c>
      <c r="I11" s="11">
        <v>4500</v>
      </c>
      <c r="J11" s="10">
        <v>1000</v>
      </c>
      <c r="K11" s="9"/>
      <c r="L11" s="8">
        <f t="shared" si="0"/>
        <v>-3500</v>
      </c>
    </row>
    <row r="12" spans="1:12" ht="162" customHeight="1" thickBot="1" x14ac:dyDescent="0.3">
      <c r="A12" s="47"/>
      <c r="B12" s="13" t="s">
        <v>371</v>
      </c>
      <c r="C12" s="12" t="s">
        <v>113</v>
      </c>
      <c r="D12" s="12" t="s">
        <v>24</v>
      </c>
      <c r="E12" s="13" t="s">
        <v>475</v>
      </c>
      <c r="F12" s="22" t="s">
        <v>131</v>
      </c>
      <c r="G12" s="13" t="s">
        <v>37</v>
      </c>
      <c r="H12" s="12" t="s">
        <v>485</v>
      </c>
      <c r="I12" s="11">
        <v>1</v>
      </c>
      <c r="J12" s="10"/>
      <c r="K12" s="9"/>
      <c r="L12" s="8">
        <f t="shared" si="0"/>
        <v>-1</v>
      </c>
    </row>
    <row r="13" spans="1:12" ht="162" customHeight="1" thickBot="1" x14ac:dyDescent="0.3">
      <c r="A13" s="47"/>
      <c r="B13" s="13" t="s">
        <v>32</v>
      </c>
      <c r="C13" s="12" t="s">
        <v>31</v>
      </c>
      <c r="D13" s="12" t="s">
        <v>24</v>
      </c>
      <c r="E13" s="13" t="s">
        <v>138</v>
      </c>
      <c r="F13" s="22" t="s">
        <v>4</v>
      </c>
      <c r="G13" s="13" t="s">
        <v>0</v>
      </c>
      <c r="H13" s="12" t="s">
        <v>468</v>
      </c>
      <c r="I13" s="11">
        <v>665</v>
      </c>
      <c r="J13" s="10"/>
      <c r="K13" s="9"/>
      <c r="L13" s="8">
        <f t="shared" si="0"/>
        <v>-665</v>
      </c>
    </row>
    <row r="14" spans="1:12" ht="162" customHeight="1" thickBot="1" x14ac:dyDescent="0.3">
      <c r="A14" s="47"/>
      <c r="B14" s="13" t="s">
        <v>32</v>
      </c>
      <c r="C14" s="12" t="s">
        <v>31</v>
      </c>
      <c r="D14" s="12" t="s">
        <v>24</v>
      </c>
      <c r="E14" s="13" t="s">
        <v>78</v>
      </c>
      <c r="F14" s="22" t="s">
        <v>4</v>
      </c>
      <c r="G14" s="13" t="s">
        <v>0</v>
      </c>
      <c r="H14" s="12" t="s">
        <v>468</v>
      </c>
      <c r="I14" s="11">
        <v>1150</v>
      </c>
      <c r="J14" s="10"/>
      <c r="K14" s="9"/>
      <c r="L14" s="8">
        <f t="shared" si="0"/>
        <v>-1150</v>
      </c>
    </row>
    <row r="15" spans="1:12" ht="162" customHeight="1" thickBot="1" x14ac:dyDescent="0.3">
      <c r="A15" s="47"/>
      <c r="B15" s="13" t="s">
        <v>32</v>
      </c>
      <c r="C15" s="12" t="s">
        <v>31</v>
      </c>
      <c r="D15" s="12" t="s">
        <v>24</v>
      </c>
      <c r="E15" s="13" t="s">
        <v>116</v>
      </c>
      <c r="F15" s="22" t="s">
        <v>9</v>
      </c>
      <c r="G15" s="13" t="s">
        <v>0</v>
      </c>
      <c r="H15" s="12" t="s">
        <v>485</v>
      </c>
      <c r="I15" s="11">
        <v>3900</v>
      </c>
      <c r="J15" s="10">
        <v>1000</v>
      </c>
      <c r="K15" s="9"/>
      <c r="L15" s="8">
        <f t="shared" si="0"/>
        <v>-2900</v>
      </c>
    </row>
    <row r="16" spans="1:12" ht="162" customHeight="1" thickBot="1" x14ac:dyDescent="0.3">
      <c r="A16" s="47" t="s">
        <v>36</v>
      </c>
      <c r="B16" s="13" t="s">
        <v>239</v>
      </c>
      <c r="C16" s="12" t="s">
        <v>163</v>
      </c>
      <c r="D16" s="12" t="s">
        <v>24</v>
      </c>
      <c r="E16" s="13" t="s">
        <v>252</v>
      </c>
      <c r="F16" s="22" t="s">
        <v>102</v>
      </c>
      <c r="G16" s="13" t="s">
        <v>37</v>
      </c>
      <c r="H16" s="12" t="s">
        <v>468</v>
      </c>
      <c r="I16" s="11">
        <v>1500</v>
      </c>
      <c r="J16" s="10"/>
      <c r="K16" s="9"/>
      <c r="L16" s="8">
        <f t="shared" si="0"/>
        <v>-1500</v>
      </c>
    </row>
    <row r="17" spans="1:12" ht="162" customHeight="1" thickBot="1" x14ac:dyDescent="0.3">
      <c r="A17" s="47"/>
      <c r="B17" s="13" t="s">
        <v>325</v>
      </c>
      <c r="C17" s="12" t="s">
        <v>472</v>
      </c>
      <c r="D17" s="12" t="s">
        <v>24</v>
      </c>
      <c r="E17" s="13" t="s">
        <v>486</v>
      </c>
      <c r="F17" s="22" t="s">
        <v>487</v>
      </c>
      <c r="G17" s="13" t="s">
        <v>37</v>
      </c>
      <c r="H17" s="12" t="s">
        <v>485</v>
      </c>
      <c r="I17" s="11">
        <v>500</v>
      </c>
      <c r="J17" s="10"/>
      <c r="K17" s="9"/>
      <c r="L17" s="8">
        <f t="shared" si="0"/>
        <v>-500</v>
      </c>
    </row>
    <row r="18" spans="1:12" ht="162" customHeight="1" thickBot="1" x14ac:dyDescent="0.3">
      <c r="A18" s="47"/>
      <c r="B18" s="13" t="s">
        <v>325</v>
      </c>
      <c r="C18" s="12" t="s">
        <v>472</v>
      </c>
      <c r="D18" s="12" t="s">
        <v>24</v>
      </c>
      <c r="E18" s="13" t="s">
        <v>488</v>
      </c>
      <c r="F18" s="22" t="s">
        <v>487</v>
      </c>
      <c r="G18" s="13" t="s">
        <v>37</v>
      </c>
      <c r="H18" s="12" t="s">
        <v>485</v>
      </c>
      <c r="I18" s="11">
        <v>1000</v>
      </c>
      <c r="J18" s="10"/>
      <c r="K18" s="9"/>
      <c r="L18" s="8">
        <f t="shared" si="0"/>
        <v>-1000</v>
      </c>
    </row>
    <row r="19" spans="1:12" ht="162" customHeight="1" thickBot="1" x14ac:dyDescent="0.3">
      <c r="A19" s="47"/>
      <c r="B19" s="13" t="s">
        <v>325</v>
      </c>
      <c r="C19" s="12" t="s">
        <v>472</v>
      </c>
      <c r="D19" s="12" t="s">
        <v>24</v>
      </c>
      <c r="E19" s="13" t="s">
        <v>473</v>
      </c>
      <c r="F19" s="22" t="s">
        <v>4</v>
      </c>
      <c r="G19" s="13" t="s">
        <v>37</v>
      </c>
      <c r="H19" s="12" t="s">
        <v>468</v>
      </c>
      <c r="I19" s="11">
        <v>500</v>
      </c>
      <c r="J19" s="10"/>
      <c r="K19" s="9"/>
      <c r="L19" s="8">
        <f t="shared" si="0"/>
        <v>-500</v>
      </c>
    </row>
    <row r="20" spans="1:12" ht="162" customHeight="1" thickBot="1" x14ac:dyDescent="0.3">
      <c r="A20" s="47"/>
      <c r="B20" s="13" t="s">
        <v>325</v>
      </c>
      <c r="C20" s="12" t="s">
        <v>472</v>
      </c>
      <c r="D20" s="12" t="s">
        <v>24</v>
      </c>
      <c r="E20" s="13" t="s">
        <v>489</v>
      </c>
      <c r="F20" s="22" t="s">
        <v>4</v>
      </c>
      <c r="G20" s="13" t="s">
        <v>37</v>
      </c>
      <c r="H20" s="12" t="s">
        <v>468</v>
      </c>
      <c r="I20" s="11">
        <v>1000</v>
      </c>
      <c r="J20" s="10"/>
      <c r="K20" s="9"/>
      <c r="L20" s="8">
        <f t="shared" si="0"/>
        <v>-1000</v>
      </c>
    </row>
    <row r="21" spans="1:12" ht="162" customHeight="1" thickBot="1" x14ac:dyDescent="0.3">
      <c r="A21" s="47"/>
      <c r="B21" s="13" t="s">
        <v>28</v>
      </c>
      <c r="C21" s="12" t="s">
        <v>34</v>
      </c>
      <c r="D21" s="12" t="s">
        <v>24</v>
      </c>
      <c r="E21" s="13" t="s">
        <v>33</v>
      </c>
      <c r="F21" s="22" t="s">
        <v>4</v>
      </c>
      <c r="G21" s="13" t="s">
        <v>0</v>
      </c>
      <c r="H21" s="12" t="s">
        <v>468</v>
      </c>
      <c r="I21" s="11">
        <v>3000</v>
      </c>
      <c r="J21" s="10">
        <v>1500</v>
      </c>
      <c r="K21" s="9"/>
      <c r="L21" s="8">
        <f t="shared" si="0"/>
        <v>-1500</v>
      </c>
    </row>
    <row r="22" spans="1:12" ht="162" customHeight="1" thickBot="1" x14ac:dyDescent="0.3">
      <c r="A22" s="47"/>
      <c r="B22" s="13" t="s">
        <v>32</v>
      </c>
      <c r="C22" s="12" t="s">
        <v>31</v>
      </c>
      <c r="D22" s="12" t="s">
        <v>24</v>
      </c>
      <c r="E22" s="13" t="s">
        <v>78</v>
      </c>
      <c r="F22" s="22" t="s">
        <v>4</v>
      </c>
      <c r="G22" s="13" t="s">
        <v>0</v>
      </c>
      <c r="H22" s="12" t="s">
        <v>468</v>
      </c>
      <c r="I22" s="11">
        <v>1150</v>
      </c>
      <c r="J22" s="10">
        <v>500</v>
      </c>
      <c r="K22" s="9"/>
      <c r="L22" s="8">
        <f t="shared" si="0"/>
        <v>-650</v>
      </c>
    </row>
    <row r="23" spans="1:12" ht="162" customHeight="1" thickBot="1" x14ac:dyDescent="0.3">
      <c r="A23" s="47"/>
      <c r="B23" s="13" t="s">
        <v>95</v>
      </c>
      <c r="C23" s="12" t="s">
        <v>15</v>
      </c>
      <c r="D23" s="12" t="s">
        <v>24</v>
      </c>
      <c r="E23" s="13" t="s">
        <v>96</v>
      </c>
      <c r="F23" s="22" t="s">
        <v>4</v>
      </c>
      <c r="G23" s="13" t="s">
        <v>0</v>
      </c>
      <c r="H23" s="12" t="s">
        <v>468</v>
      </c>
      <c r="I23" s="11">
        <v>579</v>
      </c>
      <c r="J23" s="10"/>
      <c r="K23" s="9"/>
      <c r="L23" s="8">
        <f t="shared" si="0"/>
        <v>-579</v>
      </c>
    </row>
    <row r="24" spans="1:12" ht="162" customHeight="1" thickBot="1" x14ac:dyDescent="0.3">
      <c r="A24" s="47"/>
      <c r="B24" s="13" t="s">
        <v>38</v>
      </c>
      <c r="C24" s="12" t="s">
        <v>27</v>
      </c>
      <c r="D24" s="12" t="s">
        <v>24</v>
      </c>
      <c r="E24" s="13" t="s">
        <v>39</v>
      </c>
      <c r="F24" s="22" t="s">
        <v>4</v>
      </c>
      <c r="G24" s="13" t="s">
        <v>0</v>
      </c>
      <c r="H24" s="12" t="s">
        <v>468</v>
      </c>
      <c r="I24" s="11">
        <v>1000</v>
      </c>
      <c r="J24" s="10">
        <v>500</v>
      </c>
      <c r="K24" s="9"/>
      <c r="L24" s="8">
        <f t="shared" si="0"/>
        <v>-500</v>
      </c>
    </row>
    <row r="25" spans="1:12" ht="162" customHeight="1" thickBot="1" x14ac:dyDescent="0.3">
      <c r="A25" s="48"/>
      <c r="B25" s="13" t="s">
        <v>77</v>
      </c>
      <c r="C25" s="12" t="s">
        <v>27</v>
      </c>
      <c r="D25" s="12" t="s">
        <v>24</v>
      </c>
      <c r="E25" s="13" t="s">
        <v>197</v>
      </c>
      <c r="F25" s="22" t="s">
        <v>4</v>
      </c>
      <c r="G25" s="13" t="s">
        <v>0</v>
      </c>
      <c r="H25" s="12" t="s">
        <v>468</v>
      </c>
      <c r="I25" s="11">
        <v>3000</v>
      </c>
      <c r="J25" s="10">
        <v>1000</v>
      </c>
      <c r="K25" s="9"/>
      <c r="L25" s="8">
        <f t="shared" si="0"/>
        <v>-2000</v>
      </c>
    </row>
    <row r="26" spans="1:12" ht="162" customHeight="1" thickBot="1" x14ac:dyDescent="0.3">
      <c r="A26" s="45" t="s">
        <v>23</v>
      </c>
      <c r="B26" s="13" t="s">
        <v>12</v>
      </c>
      <c r="C26" s="12" t="s">
        <v>6</v>
      </c>
      <c r="D26" s="12" t="s">
        <v>20</v>
      </c>
      <c r="E26" s="13" t="s">
        <v>22</v>
      </c>
      <c r="F26" s="22" t="s">
        <v>4</v>
      </c>
      <c r="G26" s="13" t="s">
        <v>0</v>
      </c>
      <c r="H26" s="12" t="s">
        <v>468</v>
      </c>
      <c r="I26" s="11">
        <v>6000</v>
      </c>
      <c r="J26" s="10">
        <v>2000</v>
      </c>
      <c r="K26" s="9"/>
      <c r="L26" s="8">
        <f t="shared" si="0"/>
        <v>-4000</v>
      </c>
    </row>
    <row r="27" spans="1:12" ht="162" customHeight="1" thickBot="1" x14ac:dyDescent="0.3">
      <c r="A27" s="46" t="s">
        <v>60</v>
      </c>
      <c r="B27" s="13" t="s">
        <v>223</v>
      </c>
      <c r="C27" s="12" t="s">
        <v>224</v>
      </c>
      <c r="D27" s="12" t="s">
        <v>60</v>
      </c>
      <c r="E27" s="13" t="s">
        <v>225</v>
      </c>
      <c r="F27" s="22" t="s">
        <v>9</v>
      </c>
      <c r="G27" s="13" t="s">
        <v>8</v>
      </c>
      <c r="H27" s="12" t="s">
        <v>468</v>
      </c>
      <c r="I27" s="11">
        <v>300</v>
      </c>
      <c r="J27" s="10">
        <v>300</v>
      </c>
      <c r="K27" s="9"/>
      <c r="L27" s="8">
        <f t="shared" si="0"/>
        <v>0</v>
      </c>
    </row>
    <row r="28" spans="1:12" ht="162" customHeight="1" thickBot="1" x14ac:dyDescent="0.3">
      <c r="A28" s="47"/>
      <c r="B28" s="24" t="s">
        <v>223</v>
      </c>
      <c r="C28" s="12" t="s">
        <v>224</v>
      </c>
      <c r="D28" s="22" t="s">
        <v>60</v>
      </c>
      <c r="E28" s="13" t="s">
        <v>225</v>
      </c>
      <c r="F28" s="22" t="s">
        <v>4</v>
      </c>
      <c r="G28" s="13" t="s">
        <v>37</v>
      </c>
      <c r="H28" s="12" t="s">
        <v>485</v>
      </c>
      <c r="I28" s="11">
        <v>73</v>
      </c>
      <c r="J28" s="41"/>
      <c r="K28" s="9"/>
      <c r="L28" s="8">
        <f t="shared" si="0"/>
        <v>-73</v>
      </c>
    </row>
    <row r="29" spans="1:12" ht="162" customHeight="1" thickBot="1" x14ac:dyDescent="0.3">
      <c r="A29" s="47"/>
      <c r="B29" s="24" t="s">
        <v>223</v>
      </c>
      <c r="C29" s="12" t="s">
        <v>224</v>
      </c>
      <c r="D29" s="22" t="s">
        <v>60</v>
      </c>
      <c r="E29" s="13" t="s">
        <v>490</v>
      </c>
      <c r="F29" s="22" t="s">
        <v>4</v>
      </c>
      <c r="G29" s="13" t="s">
        <v>37</v>
      </c>
      <c r="H29" s="12" t="s">
        <v>485</v>
      </c>
      <c r="I29" s="11">
        <v>20</v>
      </c>
      <c r="J29" s="41"/>
      <c r="K29" s="9"/>
      <c r="L29" s="8">
        <f t="shared" si="0"/>
        <v>-20</v>
      </c>
    </row>
    <row r="30" spans="1:12" ht="162" customHeight="1" thickBot="1" x14ac:dyDescent="0.3">
      <c r="A30" s="47"/>
      <c r="B30" s="24" t="s">
        <v>67</v>
      </c>
      <c r="C30" s="12" t="s">
        <v>68</v>
      </c>
      <c r="D30" s="22" t="s">
        <v>60</v>
      </c>
      <c r="E30" s="13" t="s">
        <v>94</v>
      </c>
      <c r="F30" s="22" t="s">
        <v>64</v>
      </c>
      <c r="G30" s="13" t="s">
        <v>37</v>
      </c>
      <c r="H30" s="12" t="s">
        <v>485</v>
      </c>
      <c r="I30" s="11">
        <v>544</v>
      </c>
      <c r="J30" s="41"/>
      <c r="K30" s="9"/>
      <c r="L30" s="8">
        <f t="shared" si="0"/>
        <v>-544</v>
      </c>
    </row>
    <row r="31" spans="1:12" ht="162" customHeight="1" thickBot="1" x14ac:dyDescent="0.3">
      <c r="A31" s="47"/>
      <c r="B31" s="24" t="s">
        <v>67</v>
      </c>
      <c r="C31" s="12" t="s">
        <v>68</v>
      </c>
      <c r="D31" s="22" t="s">
        <v>60</v>
      </c>
      <c r="E31" s="13" t="s">
        <v>491</v>
      </c>
      <c r="F31" s="22" t="s">
        <v>4</v>
      </c>
      <c r="G31" s="13" t="s">
        <v>37</v>
      </c>
      <c r="H31" s="12" t="s">
        <v>468</v>
      </c>
      <c r="I31" s="11">
        <v>544</v>
      </c>
      <c r="J31" s="41"/>
      <c r="K31" s="9"/>
      <c r="L31" s="8">
        <f t="shared" si="0"/>
        <v>-544</v>
      </c>
    </row>
    <row r="32" spans="1:12" ht="162" customHeight="1" thickBot="1" x14ac:dyDescent="0.3">
      <c r="A32" s="47"/>
      <c r="B32" s="24" t="s">
        <v>67</v>
      </c>
      <c r="C32" s="12" t="s">
        <v>68</v>
      </c>
      <c r="D32" s="22" t="s">
        <v>60</v>
      </c>
      <c r="E32" s="13" t="s">
        <v>492</v>
      </c>
      <c r="F32" s="22" t="s">
        <v>102</v>
      </c>
      <c r="G32" s="13" t="s">
        <v>37</v>
      </c>
      <c r="H32" s="12" t="s">
        <v>468</v>
      </c>
      <c r="I32" s="11">
        <v>544</v>
      </c>
      <c r="J32" s="41"/>
      <c r="K32" s="9"/>
      <c r="L32" s="8">
        <f t="shared" si="0"/>
        <v>-544</v>
      </c>
    </row>
    <row r="33" spans="1:12" ht="162" customHeight="1" thickBot="1" x14ac:dyDescent="0.3">
      <c r="A33" s="46" t="s">
        <v>484</v>
      </c>
      <c r="B33" s="24" t="s">
        <v>7</v>
      </c>
      <c r="C33" s="12" t="s">
        <v>17</v>
      </c>
      <c r="D33" s="22" t="s">
        <v>120</v>
      </c>
      <c r="E33" s="13" t="s">
        <v>121</v>
      </c>
      <c r="F33" s="22" t="s">
        <v>122</v>
      </c>
      <c r="G33" s="13" t="s">
        <v>0</v>
      </c>
      <c r="H33" s="12" t="s">
        <v>468</v>
      </c>
      <c r="I33" s="11">
        <v>2000</v>
      </c>
      <c r="J33" s="41">
        <v>1000</v>
      </c>
      <c r="K33" s="9"/>
      <c r="L33" s="8">
        <f t="shared" si="0"/>
        <v>-1000</v>
      </c>
    </row>
    <row r="34" spans="1:12" ht="162" customHeight="1" thickBot="1" x14ac:dyDescent="0.3">
      <c r="A34" s="47"/>
      <c r="B34" s="24" t="s">
        <v>7</v>
      </c>
      <c r="C34" s="12" t="s">
        <v>15</v>
      </c>
      <c r="D34" s="22" t="s">
        <v>14</v>
      </c>
      <c r="E34" s="13" t="s">
        <v>65</v>
      </c>
      <c r="F34" s="22" t="s">
        <v>4</v>
      </c>
      <c r="G34" s="13" t="s">
        <v>0</v>
      </c>
      <c r="H34" s="12" t="s">
        <v>468</v>
      </c>
      <c r="I34" s="11">
        <v>3000</v>
      </c>
      <c r="J34" s="41"/>
      <c r="K34" s="9"/>
      <c r="L34" s="8">
        <f t="shared" si="0"/>
        <v>-3000</v>
      </c>
    </row>
    <row r="35" spans="1:12" ht="162" customHeight="1" thickBot="1" x14ac:dyDescent="0.3">
      <c r="A35" s="47"/>
      <c r="B35" s="24" t="s">
        <v>7</v>
      </c>
      <c r="C35" s="12" t="s">
        <v>15</v>
      </c>
      <c r="D35" s="22" t="s">
        <v>14</v>
      </c>
      <c r="E35" s="13" t="s">
        <v>13</v>
      </c>
      <c r="F35" s="22" t="s">
        <v>4</v>
      </c>
      <c r="G35" s="13" t="s">
        <v>0</v>
      </c>
      <c r="H35" s="12" t="s">
        <v>468</v>
      </c>
      <c r="I35" s="11">
        <v>6000</v>
      </c>
      <c r="J35" s="41"/>
      <c r="K35" s="9"/>
      <c r="L35" s="8">
        <f t="shared" si="0"/>
        <v>-6000</v>
      </c>
    </row>
    <row r="36" spans="1:12" ht="162" customHeight="1" thickBot="1" x14ac:dyDescent="0.3">
      <c r="A36" s="47"/>
      <c r="B36" s="24" t="s">
        <v>12</v>
      </c>
      <c r="C36" s="12" t="s">
        <v>3</v>
      </c>
      <c r="D36" s="22" t="s">
        <v>11</v>
      </c>
      <c r="E36" s="13" t="s">
        <v>10</v>
      </c>
      <c r="F36" s="22" t="s">
        <v>4</v>
      </c>
      <c r="G36" s="13" t="s">
        <v>0</v>
      </c>
      <c r="H36" s="12" t="s">
        <v>468</v>
      </c>
      <c r="I36" s="11">
        <v>3000</v>
      </c>
      <c r="J36" s="41"/>
      <c r="K36" s="9"/>
      <c r="L36" s="8">
        <f t="shared" si="0"/>
        <v>-3000</v>
      </c>
    </row>
    <row r="37" spans="1:12" ht="162" customHeight="1" thickBot="1" x14ac:dyDescent="0.3">
      <c r="A37" s="48"/>
      <c r="B37" s="24" t="s">
        <v>7</v>
      </c>
      <c r="C37" s="12" t="s">
        <v>6</v>
      </c>
      <c r="D37" s="22" t="s">
        <v>1</v>
      </c>
      <c r="E37" s="13" t="s">
        <v>5</v>
      </c>
      <c r="F37" s="22" t="s">
        <v>4</v>
      </c>
      <c r="G37" s="13" t="s">
        <v>0</v>
      </c>
      <c r="H37" s="12" t="s">
        <v>468</v>
      </c>
      <c r="I37" s="11">
        <v>5000</v>
      </c>
      <c r="J37" s="41"/>
      <c r="K37" s="9"/>
      <c r="L37" s="8">
        <f t="shared" si="0"/>
        <v>-5000</v>
      </c>
    </row>
  </sheetData>
  <autoFilter ref="A2:L33"/>
  <dataConsolidate/>
  <mergeCells count="5">
    <mergeCell ref="A1:L1"/>
    <mergeCell ref="A3:A15"/>
    <mergeCell ref="A16:A25"/>
    <mergeCell ref="A27:A32"/>
    <mergeCell ref="A33:A37"/>
  </mergeCells>
  <conditionalFormatting sqref="I2:I33 K3:L33 L34:L37">
    <cfRule type="cellIs" dxfId="3" priority="4" operator="lessThan">
      <formula>0</formula>
    </cfRule>
  </conditionalFormatting>
  <conditionalFormatting sqref="L2">
    <cfRule type="cellIs" dxfId="2" priority="3" operator="lessThan">
      <formula>0</formula>
    </cfRule>
  </conditionalFormatting>
  <conditionalFormatting sqref="I35:I37 K35:K37">
    <cfRule type="cellIs" dxfId="1" priority="2" operator="lessThan">
      <formula>0</formula>
    </cfRule>
  </conditionalFormatting>
  <conditionalFormatting sqref="I34 K34">
    <cfRule type="cellIs" dxfId="0" priority="1" operator="lessThan">
      <formula>0</formula>
    </cfRule>
  </conditionalFormatting>
  <printOptions horizontalCentered="1"/>
  <pageMargins left="0" right="0" top="0" bottom="0" header="0" footer="0"/>
  <pageSetup paperSize="9" scale="12" fitToHeight="0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55</vt:i4>
      </vt:variant>
    </vt:vector>
  </HeadingPairs>
  <TitlesOfParts>
    <vt:vector size="111" baseType="lpstr">
      <vt:lpstr>CN 1.3</vt:lpstr>
      <vt:lpstr>CD 1.3</vt:lpstr>
      <vt:lpstr>CN 2.3</vt:lpstr>
      <vt:lpstr>CD 2.3</vt:lpstr>
      <vt:lpstr>CN 3.3</vt:lpstr>
      <vt:lpstr>CD 3.3</vt:lpstr>
      <vt:lpstr>CN 4.3</vt:lpstr>
      <vt:lpstr>CD 4.3</vt:lpstr>
      <vt:lpstr>CN 5.3</vt:lpstr>
      <vt:lpstr>CD 5.3</vt:lpstr>
      <vt:lpstr>CN 6.3</vt:lpstr>
      <vt:lpstr>CD 6.3 UP</vt:lpstr>
      <vt:lpstr>CN 7.3</vt:lpstr>
      <vt:lpstr>CD 7.3</vt:lpstr>
      <vt:lpstr>CD 7.3 UP</vt:lpstr>
      <vt:lpstr>CN 8.3</vt:lpstr>
      <vt:lpstr>CN 8.3 UP</vt:lpstr>
      <vt:lpstr>CD 8.3</vt:lpstr>
      <vt:lpstr>CD 8.3 UP</vt:lpstr>
      <vt:lpstr>CN 9.3</vt:lpstr>
      <vt:lpstr>CD 9.3</vt:lpstr>
      <vt:lpstr>CD 9.3 UP</vt:lpstr>
      <vt:lpstr>CN 10.3</vt:lpstr>
      <vt:lpstr>CD 10.3</vt:lpstr>
      <vt:lpstr>CD 10.3 UP</vt:lpstr>
      <vt:lpstr>CN 11.3</vt:lpstr>
      <vt:lpstr>CD 11.3</vt:lpstr>
      <vt:lpstr>CD 11.3 UP</vt:lpstr>
      <vt:lpstr>CN 12.3</vt:lpstr>
      <vt:lpstr>CD 12.3</vt:lpstr>
      <vt:lpstr>CD 12.3 up </vt:lpstr>
      <vt:lpstr>CN 13.3</vt:lpstr>
      <vt:lpstr>CD 13.3</vt:lpstr>
      <vt:lpstr>CN 14.3</vt:lpstr>
      <vt:lpstr>CD 14.3</vt:lpstr>
      <vt:lpstr>CD 14.3 UP</vt:lpstr>
      <vt:lpstr>CN 16.3</vt:lpstr>
      <vt:lpstr>CD 16.3</vt:lpstr>
      <vt:lpstr>CN 17.3</vt:lpstr>
      <vt:lpstr>CD 17.3</vt:lpstr>
      <vt:lpstr>CN 18.3 UP </vt:lpstr>
      <vt:lpstr>CD 18.3</vt:lpstr>
      <vt:lpstr>CN 19.3</vt:lpstr>
      <vt:lpstr>CD 19.3</vt:lpstr>
      <vt:lpstr>CN 20.3</vt:lpstr>
      <vt:lpstr>CD 20.3</vt:lpstr>
      <vt:lpstr>CN 21.3</vt:lpstr>
      <vt:lpstr>CD 21.3</vt:lpstr>
      <vt:lpstr>CN 23.3</vt:lpstr>
      <vt:lpstr>CD 23.3</vt:lpstr>
      <vt:lpstr>CN 24.3</vt:lpstr>
      <vt:lpstr>CD 24.3</vt:lpstr>
      <vt:lpstr>CN 25.3</vt:lpstr>
      <vt:lpstr>CD 25.3</vt:lpstr>
      <vt:lpstr>CN 26.3</vt:lpstr>
      <vt:lpstr>CN 27.3</vt:lpstr>
      <vt:lpstr>'CD 1.3'!Print_Area</vt:lpstr>
      <vt:lpstr>'CD 10.3'!Print_Area</vt:lpstr>
      <vt:lpstr>'CD 10.3 UP'!Print_Area</vt:lpstr>
      <vt:lpstr>'CD 11.3'!Print_Area</vt:lpstr>
      <vt:lpstr>'CD 11.3 UP'!Print_Area</vt:lpstr>
      <vt:lpstr>'CD 12.3'!Print_Area</vt:lpstr>
      <vt:lpstr>'CD 12.3 up '!Print_Area</vt:lpstr>
      <vt:lpstr>'CD 13.3'!Print_Area</vt:lpstr>
      <vt:lpstr>'CD 14.3'!Print_Area</vt:lpstr>
      <vt:lpstr>'CD 14.3 UP'!Print_Area</vt:lpstr>
      <vt:lpstr>'CD 16.3'!Print_Area</vt:lpstr>
      <vt:lpstr>'CD 17.3'!Print_Area</vt:lpstr>
      <vt:lpstr>'CD 18.3'!Print_Area</vt:lpstr>
      <vt:lpstr>'CD 19.3'!Print_Area</vt:lpstr>
      <vt:lpstr>'CD 2.3'!Print_Area</vt:lpstr>
      <vt:lpstr>'CD 20.3'!Print_Area</vt:lpstr>
      <vt:lpstr>'CD 21.3'!Print_Area</vt:lpstr>
      <vt:lpstr>'CD 23.3'!Print_Area</vt:lpstr>
      <vt:lpstr>'CD 24.3'!Print_Area</vt:lpstr>
      <vt:lpstr>'CD 25.3'!Print_Area</vt:lpstr>
      <vt:lpstr>'CD 3.3'!Print_Area</vt:lpstr>
      <vt:lpstr>'CD 4.3'!Print_Area</vt:lpstr>
      <vt:lpstr>'CD 5.3'!Print_Area</vt:lpstr>
      <vt:lpstr>'CD 6.3 UP'!Print_Area</vt:lpstr>
      <vt:lpstr>'CD 7.3'!Print_Area</vt:lpstr>
      <vt:lpstr>'CD 7.3 UP'!Print_Area</vt:lpstr>
      <vt:lpstr>'CD 8.3 UP'!Print_Area</vt:lpstr>
      <vt:lpstr>'CD 9.3'!Print_Area</vt:lpstr>
      <vt:lpstr>'CD 9.3 UP'!Print_Area</vt:lpstr>
      <vt:lpstr>'CN 1.3'!Print_Area</vt:lpstr>
      <vt:lpstr>'CN 10.3'!Print_Area</vt:lpstr>
      <vt:lpstr>'CN 11.3'!Print_Area</vt:lpstr>
      <vt:lpstr>'CN 12.3'!Print_Area</vt:lpstr>
      <vt:lpstr>'CN 13.3'!Print_Area</vt:lpstr>
      <vt:lpstr>'CN 14.3'!Print_Area</vt:lpstr>
      <vt:lpstr>'CN 16.3'!Print_Area</vt:lpstr>
      <vt:lpstr>'CN 17.3'!Print_Area</vt:lpstr>
      <vt:lpstr>'CN 18.3 UP '!Print_Area</vt:lpstr>
      <vt:lpstr>'CN 19.3'!Print_Area</vt:lpstr>
      <vt:lpstr>'CN 2.3'!Print_Area</vt:lpstr>
      <vt:lpstr>'CN 20.3'!Print_Area</vt:lpstr>
      <vt:lpstr>'CN 21.3'!Print_Area</vt:lpstr>
      <vt:lpstr>'CN 23.3'!Print_Area</vt:lpstr>
      <vt:lpstr>'CN 24.3'!Print_Area</vt:lpstr>
      <vt:lpstr>'CN 25.3'!Print_Area</vt:lpstr>
      <vt:lpstr>'CN 26.3'!Print_Area</vt:lpstr>
      <vt:lpstr>'CN 27.3'!Print_Area</vt:lpstr>
      <vt:lpstr>'CN 3.3'!Print_Area</vt:lpstr>
      <vt:lpstr>'CN 4.3'!Print_Area</vt:lpstr>
      <vt:lpstr>'CN 5.3'!Print_Area</vt:lpstr>
      <vt:lpstr>'CN 6.3'!Print_Area</vt:lpstr>
      <vt:lpstr>'CN 7.3'!Print_Area</vt:lpstr>
      <vt:lpstr>'CN 8.3'!Print_Area</vt:lpstr>
      <vt:lpstr>'CN 8.3 UP'!Print_Area</vt:lpstr>
      <vt:lpstr>'CN 9.3'!Print_Area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TuyenMM2</dc:creator>
  <cp:lastModifiedBy>Phat_MM</cp:lastModifiedBy>
  <cp:lastPrinted>2026-03-26T22:19:45Z</cp:lastPrinted>
  <dcterms:created xsi:type="dcterms:W3CDTF">2026-02-01T01:36:25Z</dcterms:created>
  <dcterms:modified xsi:type="dcterms:W3CDTF">2026-03-26T22:31:20Z</dcterms:modified>
</cp:coreProperties>
</file>